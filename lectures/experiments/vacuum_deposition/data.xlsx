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物理学実験　上級\"/>
    </mc:Choice>
  </mc:AlternateContent>
  <xr:revisionPtr revIDLastSave="0" documentId="13_ncr:1_{89B4D3A8-FD97-4612-98ED-F6B16E25C6DC}" xr6:coauthVersionLast="47" xr6:coauthVersionMax="47" xr10:uidLastSave="{00000000-0000-0000-0000-000000000000}"/>
  <bookViews>
    <workbookView xWindow="-98" yWindow="-98" windowWidth="21795" windowHeight="12975" activeTab="1" xr2:uid="{42CB46B5-4917-4C68-B7FA-5D0E1D925544}"/>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2" l="1"/>
  <c r="E28" i="2"/>
  <c r="E33" i="1"/>
  <c r="D11" i="2"/>
  <c r="D18" i="2"/>
  <c r="D17" i="2"/>
  <c r="D16" i="2"/>
  <c r="D15" i="2"/>
  <c r="D14" i="2"/>
  <c r="D13" i="2"/>
  <c r="D12" i="2"/>
  <c r="D18" i="1"/>
  <c r="E18" i="1" s="1"/>
  <c r="F18" i="1" s="1"/>
  <c r="D12" i="1"/>
  <c r="E12" i="1" s="1"/>
  <c r="G12" i="1" s="1"/>
  <c r="D11" i="1"/>
  <c r="E11" i="1" s="1"/>
  <c r="D13" i="1"/>
  <c r="D14" i="1"/>
  <c r="D15" i="1"/>
  <c r="D16" i="1"/>
  <c r="D17" i="1"/>
  <c r="E52" i="2"/>
  <c r="E51" i="2"/>
  <c r="E50" i="2"/>
  <c r="E49" i="2"/>
  <c r="E48" i="2"/>
  <c r="E46" i="2"/>
  <c r="E45" i="2"/>
  <c r="E34" i="2"/>
  <c r="E33" i="2"/>
  <c r="E32" i="2"/>
  <c r="E31" i="2"/>
  <c r="E30" i="2"/>
  <c r="E29" i="2"/>
  <c r="E27" i="2"/>
  <c r="C18" i="2"/>
  <c r="C17" i="2"/>
  <c r="C16" i="2"/>
  <c r="C15" i="2"/>
  <c r="C14" i="2"/>
  <c r="C13" i="2"/>
  <c r="C12" i="2"/>
  <c r="C11" i="2"/>
  <c r="E5" i="2"/>
  <c r="F5" i="2" s="1"/>
  <c r="V23" i="2" s="1"/>
  <c r="E13" i="1"/>
  <c r="G13" i="1" s="1"/>
  <c r="C14" i="1"/>
  <c r="C12" i="1"/>
  <c r="C13" i="1"/>
  <c r="C15" i="1"/>
  <c r="C16" i="1"/>
  <c r="E16" i="1" s="1"/>
  <c r="F16" i="1" s="1"/>
  <c r="C17" i="1"/>
  <c r="C18" i="1"/>
  <c r="C11" i="1"/>
  <c r="E27" i="1"/>
  <c r="E49" i="1"/>
  <c r="V23" i="1"/>
  <c r="E28" i="1"/>
  <c r="E29" i="1"/>
  <c r="E52" i="1"/>
  <c r="E51" i="1"/>
  <c r="E50" i="1"/>
  <c r="E48" i="1"/>
  <c r="E47" i="1"/>
  <c r="E46" i="1"/>
  <c r="E45" i="1"/>
  <c r="E32" i="1"/>
  <c r="E31" i="1"/>
  <c r="E30" i="1"/>
  <c r="E34" i="1"/>
  <c r="E5" i="1"/>
  <c r="F5" i="1" s="1"/>
  <c r="E15" i="1" l="1"/>
  <c r="G15" i="1" s="1"/>
  <c r="E17" i="1"/>
  <c r="F17" i="1" s="1"/>
  <c r="E12" i="2"/>
  <c r="F12" i="2" s="1"/>
  <c r="E18" i="2"/>
  <c r="F18" i="2" s="1"/>
  <c r="E15" i="2"/>
  <c r="F15" i="2" s="1"/>
  <c r="E13" i="2"/>
  <c r="F13" i="2" s="1"/>
  <c r="E11" i="2"/>
  <c r="F11" i="2" s="1"/>
  <c r="E17" i="2"/>
  <c r="F17" i="2" s="1"/>
  <c r="E16" i="2"/>
  <c r="F16" i="2" s="1"/>
  <c r="E14" i="2"/>
  <c r="F14" i="2" s="1"/>
  <c r="E14" i="1"/>
  <c r="G14" i="1" s="1"/>
  <c r="F11" i="1"/>
  <c r="G11" i="1"/>
  <c r="G17" i="1"/>
  <c r="H17" i="1" s="1"/>
  <c r="X36" i="1" s="1"/>
  <c r="G16" i="1"/>
  <c r="H16" i="1" s="1"/>
  <c r="X35" i="1" s="1"/>
  <c r="G18" i="1"/>
  <c r="H18" i="1" s="1"/>
  <c r="X37" i="1" s="1"/>
  <c r="F15" i="1"/>
  <c r="H15" i="1" s="1"/>
  <c r="X34" i="1" s="1"/>
  <c r="F13" i="1"/>
  <c r="H13" i="1" s="1"/>
  <c r="X32" i="1" s="1"/>
  <c r="F12" i="1"/>
  <c r="H12" i="1" s="1"/>
  <c r="X31" i="1" s="1"/>
  <c r="H11" i="1" l="1"/>
  <c r="X30" i="1" s="1"/>
  <c r="G12" i="2"/>
  <c r="H12" i="2" s="1"/>
  <c r="X31" i="2" s="1"/>
  <c r="G18" i="2"/>
  <c r="H18" i="2" s="1"/>
  <c r="X37" i="2" s="1"/>
  <c r="G15" i="2"/>
  <c r="H15" i="2" s="1"/>
  <c r="X34" i="2" s="1"/>
  <c r="G13" i="2"/>
  <c r="H13" i="2" s="1"/>
  <c r="X32" i="2" s="1"/>
  <c r="G17" i="2"/>
  <c r="H17" i="2" s="1"/>
  <c r="X36" i="2" s="1"/>
  <c r="G11" i="2"/>
  <c r="H11" i="2" s="1"/>
  <c r="X30" i="2" s="1"/>
  <c r="G16" i="2"/>
  <c r="H16" i="2" s="1"/>
  <c r="X35" i="2" s="1"/>
  <c r="G14" i="2"/>
  <c r="H14" i="2" s="1"/>
  <c r="X33" i="2" s="1"/>
  <c r="F14" i="1"/>
  <c r="H14" i="1" s="1"/>
  <c r="X33" i="1" s="1"/>
</calcChain>
</file>

<file path=xl/sharedStrings.xml><?xml version="1.0" encoding="utf-8"?>
<sst xmlns="http://schemas.openxmlformats.org/spreadsheetml/2006/main" count="112" uniqueCount="55">
  <si>
    <t>Alとコニカルバスケットにおける蒸着前後の質量</t>
    <rPh sb="16" eb="18">
      <t>ジョウチャク</t>
    </rPh>
    <rPh sb="18" eb="20">
      <t>ゼンゴ</t>
    </rPh>
    <rPh sb="21" eb="23">
      <t>シツリョウ</t>
    </rPh>
    <phoneticPr fontId="1"/>
  </si>
  <si>
    <t>蒸着前 [g]</t>
    <rPh sb="0" eb="2">
      <t>ジョウチャク</t>
    </rPh>
    <rPh sb="2" eb="3">
      <t>マエ</t>
    </rPh>
    <phoneticPr fontId="1"/>
  </si>
  <si>
    <t>蒸着後 [g]</t>
    <rPh sb="0" eb="2">
      <t>ジョウチャク</t>
    </rPh>
    <rPh sb="2" eb="3">
      <t>ゴ</t>
    </rPh>
    <phoneticPr fontId="1"/>
  </si>
  <si>
    <r>
      <t xml:space="preserve">Alの蒸発質量 </t>
    </r>
    <r>
      <rPr>
        <i/>
        <sz val="11"/>
        <color theme="1"/>
        <rFont val="游ゴシック"/>
        <family val="3"/>
        <charset val="128"/>
        <scheme val="minor"/>
      </rPr>
      <t>m</t>
    </r>
    <r>
      <rPr>
        <sz val="11"/>
        <color theme="1"/>
        <rFont val="游ゴシック"/>
        <family val="2"/>
        <charset val="128"/>
        <scheme val="minor"/>
      </rPr>
      <t xml:space="preserve"> [g]</t>
    </r>
    <rPh sb="3" eb="5">
      <t>ジョウハツ</t>
    </rPh>
    <rPh sb="5" eb="7">
      <t>シツリョウ</t>
    </rPh>
    <phoneticPr fontId="1"/>
  </si>
  <si>
    <r>
      <t xml:space="preserve">水平距離 </t>
    </r>
    <r>
      <rPr>
        <i/>
        <sz val="11"/>
        <color theme="1"/>
        <rFont val="游ゴシック"/>
        <family val="3"/>
        <charset val="128"/>
        <scheme val="minor"/>
      </rPr>
      <t xml:space="preserve">x </t>
    </r>
    <r>
      <rPr>
        <sz val="11"/>
        <color theme="1"/>
        <rFont val="游ゴシック"/>
        <family val="3"/>
        <charset val="128"/>
        <scheme val="minor"/>
      </rPr>
      <t>[mm]</t>
    </r>
    <rPh sb="0" eb="2">
      <t>スイヘイ</t>
    </rPh>
    <rPh sb="2" eb="4">
      <t>キョリ</t>
    </rPh>
    <phoneticPr fontId="1"/>
  </si>
  <si>
    <r>
      <t xml:space="preserve">垂直距離 </t>
    </r>
    <r>
      <rPr>
        <i/>
        <sz val="11"/>
        <color theme="1"/>
        <rFont val="游ゴシック"/>
        <family val="3"/>
        <charset val="128"/>
        <scheme val="minor"/>
      </rPr>
      <t>h</t>
    </r>
    <r>
      <rPr>
        <sz val="11"/>
        <color theme="1"/>
        <rFont val="游ゴシック"/>
        <family val="3"/>
        <charset val="128"/>
        <scheme val="minor"/>
      </rPr>
      <t xml:space="preserve"> [mm]</t>
    </r>
    <rPh sb="0" eb="2">
      <t>スイチョク</t>
    </rPh>
    <rPh sb="2" eb="4">
      <t>キョリ</t>
    </rPh>
    <phoneticPr fontId="1"/>
  </si>
  <si>
    <r>
      <t xml:space="preserve">距離 </t>
    </r>
    <r>
      <rPr>
        <i/>
        <sz val="11"/>
        <color theme="1"/>
        <rFont val="游ゴシック"/>
        <family val="3"/>
        <charset val="128"/>
        <scheme val="minor"/>
      </rPr>
      <t xml:space="preserve">r  </t>
    </r>
    <r>
      <rPr>
        <sz val="11"/>
        <color theme="1"/>
        <rFont val="游ゴシック"/>
        <family val="2"/>
        <charset val="128"/>
        <scheme val="minor"/>
      </rPr>
      <t>[mm]</t>
    </r>
    <rPh sb="0" eb="2">
      <t>キョリ</t>
    </rPh>
    <phoneticPr fontId="1"/>
  </si>
  <si>
    <r>
      <t>距離　</t>
    </r>
    <r>
      <rPr>
        <i/>
        <sz val="11"/>
        <color theme="1"/>
        <rFont val="游ゴシック"/>
        <family val="3"/>
        <charset val="128"/>
        <scheme val="minor"/>
      </rPr>
      <t>r</t>
    </r>
    <r>
      <rPr>
        <sz val="11"/>
        <color theme="1"/>
        <rFont val="游ゴシック"/>
        <family val="3"/>
        <charset val="128"/>
        <scheme val="minor"/>
      </rPr>
      <t xml:space="preserve"> [m]</t>
    </r>
    <rPh sb="0" eb="2">
      <t>キョリ</t>
    </rPh>
    <phoneticPr fontId="1"/>
  </si>
  <si>
    <t>cosθ</t>
    <phoneticPr fontId="1"/>
  </si>
  <si>
    <t>それぞれの測定結果</t>
    <rPh sb="5" eb="7">
      <t>ソクテイ</t>
    </rPh>
    <rPh sb="7" eb="9">
      <t>ケッカ</t>
    </rPh>
    <phoneticPr fontId="1"/>
  </si>
  <si>
    <r>
      <t>cosθ/</t>
    </r>
    <r>
      <rPr>
        <i/>
        <sz val="11"/>
        <color theme="1"/>
        <rFont val="游ゴシック"/>
        <family val="3"/>
        <charset val="128"/>
        <scheme val="minor"/>
      </rPr>
      <t>r</t>
    </r>
    <r>
      <rPr>
        <vertAlign val="superscript"/>
        <sz val="11"/>
        <color theme="1"/>
        <rFont val="游ゴシック"/>
        <family val="3"/>
        <charset val="128"/>
        <scheme val="minor"/>
      </rPr>
      <t>2</t>
    </r>
    <r>
      <rPr>
        <sz val="11"/>
        <color theme="1"/>
        <rFont val="游ゴシック"/>
        <family val="2"/>
        <charset val="128"/>
        <scheme val="minor"/>
      </rPr>
      <t xml:space="preserve"> [1/m</t>
    </r>
    <r>
      <rPr>
        <vertAlign val="superscript"/>
        <sz val="11"/>
        <color theme="1"/>
        <rFont val="游ゴシック"/>
        <family val="3"/>
        <charset val="128"/>
        <scheme val="minor"/>
      </rPr>
      <t>2</t>
    </r>
    <r>
      <rPr>
        <sz val="11"/>
        <color theme="1"/>
        <rFont val="游ゴシック"/>
        <family val="2"/>
        <charset val="128"/>
        <scheme val="minor"/>
      </rPr>
      <t>]</t>
    </r>
    <phoneticPr fontId="1"/>
  </si>
  <si>
    <r>
      <rPr>
        <i/>
        <sz val="11"/>
        <color theme="1"/>
        <rFont val="游ゴシック"/>
        <family val="3"/>
        <charset val="128"/>
        <scheme val="minor"/>
      </rPr>
      <t xml:space="preserve">t </t>
    </r>
    <r>
      <rPr>
        <sz val="11"/>
        <color theme="1"/>
        <rFont val="游ゴシック"/>
        <family val="3"/>
        <charset val="128"/>
        <scheme val="minor"/>
      </rPr>
      <t>[nm]</t>
    </r>
    <phoneticPr fontId="1"/>
  </si>
  <si>
    <r>
      <t xml:space="preserve">水銀灯の波長 </t>
    </r>
    <r>
      <rPr>
        <i/>
        <sz val="11"/>
        <color theme="1"/>
        <rFont val="游ゴシック"/>
        <family val="3"/>
        <charset val="128"/>
        <scheme val="minor"/>
      </rPr>
      <t xml:space="preserve">λ </t>
    </r>
    <r>
      <rPr>
        <sz val="11"/>
        <color theme="1"/>
        <rFont val="游ゴシック"/>
        <family val="2"/>
        <charset val="128"/>
        <scheme val="minor"/>
      </rPr>
      <t>[nm]</t>
    </r>
    <rPh sb="0" eb="3">
      <t>スイギントウ</t>
    </rPh>
    <rPh sb="4" eb="6">
      <t>ハチョウ</t>
    </rPh>
    <phoneticPr fontId="1"/>
  </si>
  <si>
    <t>傾き</t>
    <rPh sb="0" eb="1">
      <t>カタム</t>
    </rPh>
    <phoneticPr fontId="1"/>
  </si>
  <si>
    <r>
      <t xml:space="preserve">Alの蒸発量 </t>
    </r>
    <r>
      <rPr>
        <i/>
        <sz val="11"/>
        <color theme="1"/>
        <rFont val="游ゴシック"/>
        <family val="3"/>
        <charset val="128"/>
        <scheme val="minor"/>
      </rPr>
      <t xml:space="preserve">m </t>
    </r>
    <r>
      <rPr>
        <sz val="11"/>
        <color theme="1"/>
        <rFont val="游ゴシック"/>
        <family val="3"/>
        <charset val="128"/>
        <scheme val="minor"/>
      </rPr>
      <t>[kg]</t>
    </r>
    <rPh sb="3" eb="5">
      <t>ジョウハツ</t>
    </rPh>
    <rPh sb="5" eb="6">
      <t>リョウ</t>
    </rPh>
    <phoneticPr fontId="1"/>
  </si>
  <si>
    <r>
      <t>Alの密度</t>
    </r>
    <r>
      <rPr>
        <i/>
        <sz val="11"/>
        <color theme="1"/>
        <rFont val="游ゴシック"/>
        <family val="3"/>
        <charset val="128"/>
        <scheme val="minor"/>
      </rPr>
      <t>ρ</t>
    </r>
    <r>
      <rPr>
        <sz val="11"/>
        <color theme="1"/>
        <rFont val="游ゴシック"/>
        <family val="2"/>
        <charset val="128"/>
        <scheme val="minor"/>
      </rPr>
      <t>[kg/m</t>
    </r>
    <r>
      <rPr>
        <vertAlign val="superscript"/>
        <sz val="11"/>
        <color theme="1"/>
        <rFont val="游ゴシック"/>
        <family val="3"/>
        <charset val="128"/>
        <scheme val="minor"/>
      </rPr>
      <t>3</t>
    </r>
    <r>
      <rPr>
        <sz val="11"/>
        <color theme="1"/>
        <rFont val="游ゴシック"/>
        <family val="2"/>
        <charset val="128"/>
        <scheme val="minor"/>
      </rPr>
      <t>]</t>
    </r>
    <rPh sb="3" eb="5">
      <t>ミツド</t>
    </rPh>
    <phoneticPr fontId="1"/>
  </si>
  <si>
    <r>
      <t xml:space="preserve">吸着率 </t>
    </r>
    <r>
      <rPr>
        <i/>
        <sz val="11"/>
        <color theme="1"/>
        <rFont val="游ゴシック"/>
        <family val="3"/>
        <charset val="128"/>
        <scheme val="minor"/>
      </rPr>
      <t xml:space="preserve">s </t>
    </r>
    <rPh sb="0" eb="2">
      <t>キュウチャク</t>
    </rPh>
    <rPh sb="2" eb="3">
      <t>リツ</t>
    </rPh>
    <phoneticPr fontId="1"/>
  </si>
  <si>
    <r>
      <rPr>
        <i/>
        <sz val="11"/>
        <color theme="1"/>
        <rFont val="游ゴシック"/>
        <family val="3"/>
        <charset val="128"/>
        <scheme val="minor"/>
      </rPr>
      <t>t</t>
    </r>
    <r>
      <rPr>
        <sz val="11"/>
        <color theme="1"/>
        <rFont val="游ゴシック"/>
        <family val="3"/>
        <charset val="128"/>
        <scheme val="minor"/>
      </rPr>
      <t xml:space="preserve"> [nm]</t>
    </r>
    <phoneticPr fontId="1"/>
  </si>
  <si>
    <r>
      <rPr>
        <i/>
        <sz val="11"/>
        <color theme="1"/>
        <rFont val="游ゴシック"/>
        <family val="3"/>
        <charset val="128"/>
        <scheme val="minor"/>
      </rPr>
      <t>H</t>
    </r>
    <r>
      <rPr>
        <vertAlign val="subscript"/>
        <sz val="11"/>
        <color theme="1"/>
        <rFont val="游ゴシック"/>
        <family val="3"/>
        <charset val="128"/>
        <scheme val="minor"/>
      </rPr>
      <t xml:space="preserve">0 </t>
    </r>
    <r>
      <rPr>
        <sz val="11"/>
        <color theme="1"/>
        <rFont val="游ゴシック"/>
        <family val="3"/>
        <charset val="128"/>
        <scheme val="minor"/>
      </rPr>
      <t xml:space="preserve"> </t>
    </r>
    <phoneticPr fontId="1"/>
  </si>
  <si>
    <r>
      <rPr>
        <i/>
        <sz val="11"/>
        <color theme="1"/>
        <rFont val="游ゴシック"/>
        <family val="3"/>
        <charset val="128"/>
        <scheme val="minor"/>
      </rPr>
      <t>H</t>
    </r>
    <r>
      <rPr>
        <vertAlign val="subscript"/>
        <sz val="11"/>
        <color theme="1"/>
        <rFont val="游ゴシック"/>
        <family val="3"/>
        <charset val="128"/>
        <scheme val="minor"/>
      </rPr>
      <t>1</t>
    </r>
    <r>
      <rPr>
        <sz val="11"/>
        <color theme="1"/>
        <rFont val="游ゴシック"/>
        <family val="3"/>
        <charset val="128"/>
        <scheme val="minor"/>
      </rPr>
      <t/>
    </r>
  </si>
  <si>
    <r>
      <rPr>
        <i/>
        <sz val="11"/>
        <color theme="1"/>
        <rFont val="游ゴシック"/>
        <family val="3"/>
        <charset val="128"/>
        <scheme val="minor"/>
      </rPr>
      <t>H</t>
    </r>
    <r>
      <rPr>
        <vertAlign val="subscript"/>
        <sz val="11"/>
        <color theme="1"/>
        <rFont val="游ゴシック"/>
        <family val="3"/>
        <charset val="128"/>
        <scheme val="minor"/>
      </rPr>
      <t>2</t>
    </r>
    <r>
      <rPr>
        <sz val="11"/>
        <color theme="1"/>
        <rFont val="游ゴシック"/>
        <family val="3"/>
        <charset val="128"/>
        <scheme val="minor"/>
      </rPr>
      <t/>
    </r>
  </si>
  <si>
    <r>
      <rPr>
        <i/>
        <sz val="11"/>
        <color theme="1"/>
        <rFont val="游ゴシック"/>
        <family val="3"/>
        <charset val="128"/>
        <scheme val="minor"/>
      </rPr>
      <t>H</t>
    </r>
    <r>
      <rPr>
        <vertAlign val="subscript"/>
        <sz val="11"/>
        <color theme="1"/>
        <rFont val="游ゴシック"/>
        <family val="3"/>
        <charset val="128"/>
        <scheme val="minor"/>
      </rPr>
      <t>3</t>
    </r>
    <r>
      <rPr>
        <sz val="11"/>
        <color theme="1"/>
        <rFont val="游ゴシック"/>
        <family val="3"/>
        <charset val="128"/>
        <scheme val="minor"/>
      </rPr>
      <t/>
    </r>
  </si>
  <si>
    <r>
      <rPr>
        <i/>
        <sz val="11"/>
        <color theme="1"/>
        <rFont val="游ゴシック"/>
        <family val="3"/>
        <charset val="128"/>
        <scheme val="minor"/>
      </rPr>
      <t>H</t>
    </r>
    <r>
      <rPr>
        <vertAlign val="subscript"/>
        <sz val="11"/>
        <color theme="1"/>
        <rFont val="游ゴシック"/>
        <family val="3"/>
        <charset val="128"/>
        <scheme val="minor"/>
      </rPr>
      <t>4</t>
    </r>
    <r>
      <rPr>
        <sz val="11"/>
        <color theme="1"/>
        <rFont val="游ゴシック"/>
        <family val="3"/>
        <charset val="128"/>
        <scheme val="minor"/>
      </rPr>
      <t/>
    </r>
  </si>
  <si>
    <r>
      <rPr>
        <i/>
        <sz val="11"/>
        <color theme="1"/>
        <rFont val="游ゴシック"/>
        <family val="3"/>
        <charset val="128"/>
        <scheme val="minor"/>
      </rPr>
      <t>H</t>
    </r>
    <r>
      <rPr>
        <vertAlign val="subscript"/>
        <sz val="11"/>
        <color theme="1"/>
        <rFont val="游ゴシック"/>
        <family val="3"/>
        <charset val="128"/>
        <scheme val="minor"/>
      </rPr>
      <t>5</t>
    </r>
    <r>
      <rPr>
        <sz val="11"/>
        <color theme="1"/>
        <rFont val="游ゴシック"/>
        <family val="3"/>
        <charset val="128"/>
        <scheme val="minor"/>
      </rPr>
      <t/>
    </r>
  </si>
  <si>
    <r>
      <rPr>
        <i/>
        <sz val="11"/>
        <color theme="1"/>
        <rFont val="游ゴシック"/>
        <family val="3"/>
        <charset val="128"/>
        <scheme val="minor"/>
      </rPr>
      <t>H</t>
    </r>
    <r>
      <rPr>
        <vertAlign val="subscript"/>
        <sz val="11"/>
        <color theme="1"/>
        <rFont val="游ゴシック"/>
        <family val="3"/>
        <charset val="128"/>
        <scheme val="minor"/>
      </rPr>
      <t>6</t>
    </r>
    <r>
      <rPr>
        <sz val="11"/>
        <color theme="1"/>
        <rFont val="游ゴシック"/>
        <family val="3"/>
        <charset val="128"/>
        <scheme val="minor"/>
      </rPr>
      <t/>
    </r>
  </si>
  <si>
    <r>
      <rPr>
        <i/>
        <sz val="11"/>
        <color theme="1"/>
        <rFont val="游ゴシック"/>
        <family val="3"/>
        <charset val="128"/>
        <scheme val="minor"/>
      </rPr>
      <t>H</t>
    </r>
    <r>
      <rPr>
        <vertAlign val="subscript"/>
        <sz val="11"/>
        <color theme="1"/>
        <rFont val="游ゴシック"/>
        <family val="3"/>
        <charset val="128"/>
        <scheme val="minor"/>
      </rPr>
      <t>7</t>
    </r>
    <r>
      <rPr>
        <sz val="11"/>
        <color theme="1"/>
        <rFont val="游ゴシック"/>
        <family val="3"/>
        <charset val="128"/>
        <scheme val="minor"/>
      </rPr>
      <t/>
    </r>
  </si>
  <si>
    <r>
      <rPr>
        <i/>
        <sz val="11"/>
        <color theme="1"/>
        <rFont val="游ゴシック"/>
        <family val="3"/>
        <charset val="128"/>
        <scheme val="minor"/>
      </rPr>
      <t>H</t>
    </r>
    <r>
      <rPr>
        <vertAlign val="subscript"/>
        <sz val="11"/>
        <color theme="1"/>
        <rFont val="游ゴシック"/>
        <family val="3"/>
        <charset val="128"/>
        <scheme val="minor"/>
      </rPr>
      <t>8</t>
    </r>
    <r>
      <rPr>
        <sz val="11"/>
        <color theme="1"/>
        <rFont val="游ゴシック"/>
        <family val="3"/>
        <charset val="128"/>
        <scheme val="minor"/>
      </rPr>
      <t/>
    </r>
  </si>
  <si>
    <r>
      <rPr>
        <i/>
        <sz val="11"/>
        <color theme="1"/>
        <rFont val="游ゴシック"/>
        <family val="3"/>
        <charset val="128"/>
        <scheme val="minor"/>
      </rPr>
      <t>H</t>
    </r>
    <r>
      <rPr>
        <vertAlign val="subscript"/>
        <sz val="11"/>
        <color theme="1"/>
        <rFont val="游ゴシック"/>
        <family val="3"/>
        <charset val="128"/>
        <scheme val="minor"/>
      </rPr>
      <t>9</t>
    </r>
    <r>
      <rPr>
        <sz val="11"/>
        <color theme="1"/>
        <rFont val="游ゴシック"/>
        <family val="3"/>
        <charset val="128"/>
        <scheme val="minor"/>
      </rPr>
      <t/>
    </r>
  </si>
  <si>
    <r>
      <rPr>
        <i/>
        <sz val="11"/>
        <color theme="1"/>
        <rFont val="游ゴシック"/>
        <family val="3"/>
        <charset val="128"/>
        <scheme val="minor"/>
      </rPr>
      <t>T</t>
    </r>
    <r>
      <rPr>
        <vertAlign val="subscript"/>
        <sz val="11"/>
        <color theme="1"/>
        <rFont val="游ゴシック"/>
        <family val="3"/>
        <charset val="128"/>
        <scheme val="minor"/>
      </rPr>
      <t xml:space="preserve">0 </t>
    </r>
    <r>
      <rPr>
        <sz val="11"/>
        <color theme="1"/>
        <rFont val="游ゴシック"/>
        <family val="3"/>
        <charset val="128"/>
        <scheme val="minor"/>
      </rPr>
      <t xml:space="preserve"> </t>
    </r>
    <phoneticPr fontId="1"/>
  </si>
  <si>
    <r>
      <rPr>
        <i/>
        <sz val="11"/>
        <color theme="1"/>
        <rFont val="游ゴシック"/>
        <family val="3"/>
        <charset val="128"/>
        <scheme val="minor"/>
      </rPr>
      <t>T</t>
    </r>
    <r>
      <rPr>
        <vertAlign val="subscript"/>
        <sz val="11"/>
        <color theme="1"/>
        <rFont val="游ゴシック"/>
        <family val="3"/>
        <charset val="128"/>
        <scheme val="minor"/>
      </rPr>
      <t>1</t>
    </r>
    <r>
      <rPr>
        <sz val="11"/>
        <color theme="1"/>
        <rFont val="游ゴシック"/>
        <family val="3"/>
        <charset val="128"/>
        <scheme val="minor"/>
      </rPr>
      <t/>
    </r>
  </si>
  <si>
    <r>
      <rPr>
        <i/>
        <sz val="11"/>
        <color theme="1"/>
        <rFont val="游ゴシック"/>
        <family val="3"/>
        <charset val="128"/>
        <scheme val="minor"/>
      </rPr>
      <t>T</t>
    </r>
    <r>
      <rPr>
        <vertAlign val="subscript"/>
        <sz val="11"/>
        <color theme="1"/>
        <rFont val="游ゴシック"/>
        <family val="3"/>
        <charset val="128"/>
        <scheme val="minor"/>
      </rPr>
      <t>2</t>
    </r>
    <r>
      <rPr>
        <sz val="11"/>
        <color theme="1"/>
        <rFont val="游ゴシック"/>
        <family val="3"/>
        <charset val="128"/>
        <scheme val="minor"/>
      </rPr>
      <t/>
    </r>
  </si>
  <si>
    <r>
      <rPr>
        <i/>
        <sz val="11"/>
        <color theme="1"/>
        <rFont val="游ゴシック"/>
        <family val="3"/>
        <charset val="128"/>
        <scheme val="minor"/>
      </rPr>
      <t>T</t>
    </r>
    <r>
      <rPr>
        <vertAlign val="subscript"/>
        <sz val="11"/>
        <color theme="1"/>
        <rFont val="游ゴシック"/>
        <family val="3"/>
        <charset val="128"/>
        <scheme val="minor"/>
      </rPr>
      <t>3</t>
    </r>
    <r>
      <rPr>
        <sz val="11"/>
        <color theme="1"/>
        <rFont val="游ゴシック"/>
        <family val="3"/>
        <charset val="128"/>
        <scheme val="minor"/>
      </rPr>
      <t/>
    </r>
  </si>
  <si>
    <r>
      <rPr>
        <i/>
        <sz val="11"/>
        <color theme="1"/>
        <rFont val="游ゴシック"/>
        <family val="3"/>
        <charset val="128"/>
        <scheme val="minor"/>
      </rPr>
      <t>T</t>
    </r>
    <r>
      <rPr>
        <vertAlign val="subscript"/>
        <sz val="11"/>
        <color theme="1"/>
        <rFont val="游ゴシック"/>
        <family val="3"/>
        <charset val="128"/>
        <scheme val="minor"/>
      </rPr>
      <t>4</t>
    </r>
    <r>
      <rPr>
        <sz val="11"/>
        <color theme="1"/>
        <rFont val="游ゴシック"/>
        <family val="3"/>
        <charset val="128"/>
        <scheme val="minor"/>
      </rPr>
      <t/>
    </r>
  </si>
  <si>
    <r>
      <rPr>
        <i/>
        <sz val="11"/>
        <color theme="1"/>
        <rFont val="游ゴシック"/>
        <family val="3"/>
        <charset val="128"/>
        <scheme val="minor"/>
      </rPr>
      <t>T</t>
    </r>
    <r>
      <rPr>
        <vertAlign val="subscript"/>
        <sz val="11"/>
        <color theme="1"/>
        <rFont val="游ゴシック"/>
        <family val="3"/>
        <charset val="128"/>
        <scheme val="minor"/>
      </rPr>
      <t>5</t>
    </r>
    <r>
      <rPr>
        <sz val="11"/>
        <color theme="1"/>
        <rFont val="游ゴシック"/>
        <family val="3"/>
        <charset val="128"/>
        <scheme val="minor"/>
      </rPr>
      <t/>
    </r>
  </si>
  <si>
    <r>
      <rPr>
        <i/>
        <sz val="11"/>
        <color theme="1"/>
        <rFont val="游ゴシック"/>
        <family val="3"/>
        <charset val="128"/>
        <scheme val="minor"/>
      </rPr>
      <t>T</t>
    </r>
    <r>
      <rPr>
        <vertAlign val="subscript"/>
        <sz val="11"/>
        <color theme="1"/>
        <rFont val="游ゴシック"/>
        <family val="3"/>
        <charset val="128"/>
        <scheme val="minor"/>
      </rPr>
      <t>6</t>
    </r>
    <r>
      <rPr>
        <sz val="11"/>
        <color theme="1"/>
        <rFont val="游ゴシック"/>
        <family val="3"/>
        <charset val="128"/>
        <scheme val="minor"/>
      </rPr>
      <t/>
    </r>
  </si>
  <si>
    <r>
      <rPr>
        <i/>
        <sz val="11"/>
        <color theme="1"/>
        <rFont val="游ゴシック"/>
        <family val="3"/>
        <charset val="128"/>
        <scheme val="minor"/>
      </rPr>
      <t>T</t>
    </r>
    <r>
      <rPr>
        <vertAlign val="subscript"/>
        <sz val="11"/>
        <color theme="1"/>
        <rFont val="游ゴシック"/>
        <family val="3"/>
        <charset val="128"/>
        <scheme val="minor"/>
      </rPr>
      <t>7</t>
    </r>
    <r>
      <rPr>
        <sz val="11"/>
        <color theme="1"/>
        <rFont val="游ゴシック"/>
        <family val="3"/>
        <charset val="128"/>
        <scheme val="minor"/>
      </rPr>
      <t/>
    </r>
  </si>
  <si>
    <r>
      <rPr>
        <i/>
        <sz val="11"/>
        <color theme="1"/>
        <rFont val="游ゴシック"/>
        <family val="3"/>
        <charset val="128"/>
        <scheme val="minor"/>
      </rPr>
      <t>T</t>
    </r>
    <r>
      <rPr>
        <vertAlign val="subscript"/>
        <sz val="11"/>
        <color theme="1"/>
        <rFont val="游ゴシック"/>
        <family val="3"/>
        <charset val="128"/>
        <scheme val="minor"/>
      </rPr>
      <t>8</t>
    </r>
    <r>
      <rPr>
        <sz val="11"/>
        <color theme="1"/>
        <rFont val="游ゴシック"/>
        <family val="3"/>
        <charset val="128"/>
        <scheme val="minor"/>
      </rPr>
      <t/>
    </r>
  </si>
  <si>
    <r>
      <rPr>
        <i/>
        <sz val="11"/>
        <color theme="1"/>
        <rFont val="游ゴシック"/>
        <family val="3"/>
        <charset val="128"/>
        <scheme val="minor"/>
      </rPr>
      <t>d</t>
    </r>
    <r>
      <rPr>
        <vertAlign val="subscript"/>
        <sz val="11"/>
        <color theme="1"/>
        <rFont val="游ゴシック"/>
        <family val="3"/>
        <charset val="128"/>
        <scheme val="minor"/>
      </rPr>
      <t xml:space="preserve">0 </t>
    </r>
    <r>
      <rPr>
        <sz val="11"/>
        <color theme="1"/>
        <rFont val="游ゴシック"/>
        <family val="3"/>
        <charset val="128"/>
        <scheme val="minor"/>
      </rPr>
      <t xml:space="preserve"> </t>
    </r>
    <phoneticPr fontId="1"/>
  </si>
  <si>
    <r>
      <rPr>
        <i/>
        <sz val="11"/>
        <color theme="1"/>
        <rFont val="游ゴシック"/>
        <family val="3"/>
        <charset val="128"/>
        <scheme val="minor"/>
      </rPr>
      <t>x'</t>
    </r>
    <r>
      <rPr>
        <vertAlign val="subscript"/>
        <sz val="11"/>
        <color theme="1"/>
        <rFont val="游ゴシック"/>
        <family val="3"/>
        <charset val="128"/>
        <scheme val="minor"/>
      </rPr>
      <t>1</t>
    </r>
    <phoneticPr fontId="1"/>
  </si>
  <si>
    <r>
      <rPr>
        <i/>
        <sz val="11"/>
        <color theme="1"/>
        <rFont val="游ゴシック"/>
        <family val="3"/>
        <charset val="128"/>
        <scheme val="minor"/>
      </rPr>
      <t>x'</t>
    </r>
    <r>
      <rPr>
        <vertAlign val="subscript"/>
        <sz val="11"/>
        <color theme="1"/>
        <rFont val="游ゴシック"/>
        <family val="3"/>
        <charset val="128"/>
        <scheme val="minor"/>
      </rPr>
      <t>2</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</si>
  <si>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3</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</si>
  <si>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4</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</si>
  <si>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5</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</si>
  <si>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6</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</si>
  <si>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7</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</si>
  <si>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8</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</si>
  <si>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1</t>
    </r>
    <phoneticPr fontId="1"/>
  </si>
  <si>
    <r>
      <rPr>
        <i/>
        <sz val="11"/>
        <color theme="1"/>
        <rFont val="游ゴシック"/>
        <family val="3"/>
        <charset val="128"/>
        <scheme val="minor"/>
      </rPr>
      <t>x''</t>
    </r>
    <r>
      <rPr>
        <vertAlign val="subscript"/>
        <sz val="11"/>
        <color theme="1"/>
        <rFont val="游ゴシック"/>
        <family val="3"/>
        <charset val="128"/>
        <scheme val="minor"/>
      </rPr>
      <t>2</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</si>
  <si>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3</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</si>
  <si>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4</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</si>
  <si>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5</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</si>
  <si>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6</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</si>
  <si>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7</t>
    </r>
    <r>
      <rPr>
        <sz val="11"/>
        <color theme="1"/>
        <rFont val="游ゴシック"/>
        <family val="2"/>
        <charset val="128"/>
        <scheme val="minor"/>
      </rPr>
      <t/>
    </r>
  </si>
  <si>
    <r>
      <rPr>
        <i/>
        <sz val="11"/>
        <color theme="1"/>
        <rFont val="游ゴシック"/>
        <family val="3"/>
        <charset val="128"/>
        <scheme val="minor"/>
      </rPr>
      <t>x''</t>
    </r>
    <r>
      <rPr>
        <vertAlign val="subscript"/>
        <sz val="11"/>
        <color theme="1"/>
        <rFont val="游ゴシック"/>
        <family val="3"/>
        <charset val="128"/>
        <scheme val="minor"/>
      </rPr>
      <t>8</t>
    </r>
    <r>
      <rPr>
        <sz val="11"/>
        <color theme="1"/>
        <rFont val="游ゴシック"/>
        <family val="2"/>
        <charset val="128"/>
        <scheme val="minor"/>
      </rPr>
      <t/>
    </r>
  </si>
  <si>
    <r>
      <t xml:space="preserve">試料からの距離 </t>
    </r>
    <r>
      <rPr>
        <i/>
        <sz val="11"/>
        <color theme="1"/>
        <rFont val="游ゴシック"/>
        <family val="3"/>
        <charset val="128"/>
        <scheme val="minor"/>
      </rPr>
      <t>h</t>
    </r>
    <r>
      <rPr>
        <vertAlign val="subscript"/>
        <sz val="11"/>
        <color theme="1"/>
        <rFont val="游ゴシック"/>
        <family val="3"/>
        <charset val="128"/>
        <scheme val="minor"/>
      </rPr>
      <t xml:space="preserve">0 </t>
    </r>
    <r>
      <rPr>
        <sz val="11"/>
        <color theme="1"/>
        <rFont val="游ゴシック"/>
        <family val="3"/>
        <charset val="128"/>
        <scheme val="minor"/>
      </rPr>
      <t>[mm]</t>
    </r>
    <rPh sb="0" eb="2">
      <t>シリョウ</t>
    </rPh>
    <rPh sb="5" eb="7">
      <t>キョリ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</si>
</sst>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i/>
      <sz val="11"/>
      <color theme="1"/>
      <name val="游ゴシック"/>
      <family val="3"/>
      <charset val="128"/>
      <scheme val="minor"/>
    </font>
    <font>
      <sz val="11"/>
      <color theme="1"/>
      <name val="游ゴシック"/>
      <family val="3"/>
      <charset val="128"/>
      <scheme val="minor"/>
    </font>
    <font>
      <vertAlign val="superscript"/>
      <sz val="11"/>
      <color theme="1"/>
      <name val="游ゴシック"/>
      <family val="3"/>
      <charset val="128"/>
      <scheme val="minor"/>
    </font>
    <font>
      <vertAlign val="subscript"/>
      <sz val="11"/>
      <color theme="1"/>
      <name val="游ゴシック"/>
      <family val="3"/>
      <charset val="128"/>
      <scheme val="minor"/>
    </font>
  </fonts>
  <fills count="2">
    <fill>
      <patternFill patternType="none"/>
    </fill>
    <fill>
      <patternFill patternType="gray125"/>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
    <xf numFmtId="0" fontId="0" fillId="0" borderId="0">
      <alignment vertical="center"/>
    </xf>
  </cellStyleXfs>
  <cellXfs count="22">
    <xf numFmtId="0" fontId="0" fillId="0" borderId="0" xfId="0">
      <alignment vertical="center"/>
    </xf>
    <xf numFmtId="0" fontId="0" fillId="0" borderId="0" xfId="0" applyAlignment="1">
      <alignment horizontal="centerContinuous" vertical="center"/>
    </xf>
    <xf numFmtId="0" fontId="0" fillId="0" borderId="2" xfId="0" applyBorder="1" applyAlignment="1">
      <alignment horizontal="center" vertical="center"/>
    </xf>
    <xf numFmtId="0" fontId="0" fillId="0" borderId="3" xfId="0" applyBorder="1">
      <alignment vertical="center"/>
    </xf>
    <xf numFmtId="0" fontId="0" fillId="0" borderId="4" xfId="0" applyBorder="1">
      <alignment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6" xfId="0" applyBorder="1">
      <alignment vertical="center"/>
    </xf>
    <xf numFmtId="0" fontId="0" fillId="0" borderId="2" xfId="0" applyBorder="1">
      <alignment vertical="center"/>
    </xf>
    <xf numFmtId="0" fontId="0" fillId="0" borderId="7" xfId="0" applyBorder="1">
      <alignment vertical="center"/>
    </xf>
    <xf numFmtId="0" fontId="0" fillId="0" borderId="8" xfId="0" applyBorder="1">
      <alignment vertical="center"/>
    </xf>
    <xf numFmtId="0" fontId="0" fillId="0" borderId="1" xfId="0" applyBorder="1">
      <alignment vertical="center"/>
    </xf>
    <xf numFmtId="0" fontId="0" fillId="0" borderId="4" xfId="0" applyBorder="1" applyAlignment="1">
      <alignment horizontal="center" vertical="center"/>
    </xf>
    <xf numFmtId="0" fontId="3" fillId="0" borderId="1" xfId="0" applyFont="1" applyBorder="1" applyAlignment="1">
      <alignment horizontal="center"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3" fillId="0" borderId="2" xfId="0" applyFont="1" applyBorder="1">
      <alignment vertical="center"/>
    </xf>
    <xf numFmtId="0" fontId="3" fillId="0" borderId="7" xfId="0" applyFont="1" applyBorder="1">
      <alignment vertical="center"/>
    </xf>
    <xf numFmtId="0" fontId="3" fillId="0" borderId="3" xfId="0" applyFont="1" applyBorder="1">
      <alignment vertical="center"/>
    </xf>
    <xf numFmtId="0" fontId="0" fillId="0" borderId="5" xfId="0" applyBorder="1">
      <alignment vertical="center"/>
    </xf>
    <xf numFmtId="0" fontId="3" fillId="0" borderId="1"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4798665743941382"/>
          <c:y val="0.8968084600455493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0.13200883674809077"/>
          <c:y val="7.7683387010796676E-2"/>
          <c:w val="0.83256995189241845"/>
          <c:h val="0.7006076991584953"/>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Sheet1!$H$11:$H$18</c:f>
              <c:numCache>
                <c:formatCode>General</c:formatCode>
                <c:ptCount val="8"/>
                <c:pt idx="0">
                  <c:v>43.580550081645804</c:v>
                </c:pt>
                <c:pt idx="1">
                  <c:v>58.54792987889978</c:v>
                </c:pt>
                <c:pt idx="2">
                  <c:v>81.758470877550053</c:v>
                </c:pt>
                <c:pt idx="3">
                  <c:v>120.00602859488995</c:v>
                </c:pt>
                <c:pt idx="4">
                  <c:v>226.13334780547535</c:v>
                </c:pt>
                <c:pt idx="5">
                  <c:v>413.67080577448905</c:v>
                </c:pt>
                <c:pt idx="6">
                  <c:v>591.34212372548734</c:v>
                </c:pt>
                <c:pt idx="7">
                  <c:v>239.26335721755026</c:v>
                </c:pt>
              </c:numCache>
            </c:numRef>
          </c:xVal>
          <c:yVal>
            <c:numRef>
              <c:f>Sheet1!$E$27:$E$34</c:f>
              <c:numCache>
                <c:formatCode>General</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2-AC01-4FCB-98F8-8186FDE75D7A}"/>
            </c:ext>
          </c:extLst>
        </c:ser>
        <c:dLbls>
          <c:showLegendKey val="0"/>
          <c:showVal val="0"/>
          <c:showCatName val="0"/>
          <c:showSerName val="0"/>
          <c:showPercent val="0"/>
          <c:showBubbleSize val="0"/>
        </c:dLbls>
        <c:axId val="377393408"/>
        <c:axId val="377401088"/>
      </c:scatterChart>
      <c:valAx>
        <c:axId val="377393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cosθ/ </a:t>
                </a:r>
                <a:r>
                  <a:rPr lang="en-US" altLang="ja-JP" i="1"/>
                  <a:t>r</a:t>
                </a:r>
                <a:r>
                  <a:rPr lang="en-US" altLang="ja-JP" i="0" baseline="30000"/>
                  <a:t>2</a:t>
                </a:r>
                <a:r>
                  <a:rPr lang="en-US" altLang="ja-JP"/>
                  <a:t> [m</a:t>
                </a:r>
                <a:r>
                  <a:rPr lang="en-US" altLang="ja-JP" baseline="30000"/>
                  <a:t>-2</a:t>
                </a:r>
                <a:r>
                  <a:rPr lang="en-US" altLang="ja-JP"/>
                  <a:t>]</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77401088"/>
        <c:crosses val="autoZero"/>
        <c:crossBetween val="midCat"/>
      </c:valAx>
      <c:valAx>
        <c:axId val="377401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i="1"/>
                  <a:t>t</a:t>
                </a:r>
                <a:r>
                  <a:rPr lang="en-US" altLang="ja-JP" i="0" baseline="0"/>
                  <a:t> [nm]</a:t>
                </a:r>
                <a:endParaRPr lang="ja-JP" altLang="en-US" i="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773934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4798665743941382"/>
          <c:y val="0.8968084600455493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0.13200883674809077"/>
          <c:y val="7.7683387010796676E-2"/>
          <c:w val="0.83256995189241845"/>
          <c:h val="0.7006076991584953"/>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Sheet2!$H$11:$H$18</c:f>
              <c:numCache>
                <c:formatCode>General</c:formatCode>
                <c:ptCount val="8"/>
                <c:pt idx="0">
                  <c:v>42.032136680975533</c:v>
                </c:pt>
                <c:pt idx="1">
                  <c:v>55.561539277640534</c:v>
                </c:pt>
                <c:pt idx="2">
                  <c:v>76.098132021809619</c:v>
                </c:pt>
                <c:pt idx="3">
                  <c:v>108.30661260776088</c:v>
                </c:pt>
                <c:pt idx="4">
                  <c:v>199.0191496533233</c:v>
                </c:pt>
                <c:pt idx="5">
                  <c:v>331.28927590654843</c:v>
                </c:pt>
                <c:pt idx="6">
                  <c:v>411.28277723589906</c:v>
                </c:pt>
                <c:pt idx="7">
                  <c:v>166.63356658947308</c:v>
                </c:pt>
              </c:numCache>
            </c:numRef>
          </c:xVal>
          <c:yVal>
            <c:numRef>
              <c:f>Sheet2!$E$27:$E$34</c:f>
              <c:numCache>
                <c:formatCode>General</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0-C5B6-433D-A29F-473604D844BA}"/>
            </c:ext>
          </c:extLst>
        </c:ser>
        <c:dLbls>
          <c:showLegendKey val="0"/>
          <c:showVal val="0"/>
          <c:showCatName val="0"/>
          <c:showSerName val="0"/>
          <c:showPercent val="0"/>
          <c:showBubbleSize val="0"/>
        </c:dLbls>
        <c:axId val="377393408"/>
        <c:axId val="377401088"/>
      </c:scatterChart>
      <c:valAx>
        <c:axId val="377393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a:t>cosθ/ </a:t>
                </a:r>
                <a:r>
                  <a:rPr lang="en-US" altLang="ja-JP" i="1"/>
                  <a:t>r</a:t>
                </a:r>
                <a:r>
                  <a:rPr lang="en-US" altLang="ja-JP" i="0" baseline="30000"/>
                  <a:t>2</a:t>
                </a:r>
                <a:r>
                  <a:rPr lang="en-US" altLang="ja-JP"/>
                  <a:t> [m</a:t>
                </a:r>
                <a:r>
                  <a:rPr lang="en-US" altLang="ja-JP" baseline="30000"/>
                  <a:t>-2</a:t>
                </a:r>
                <a:r>
                  <a:rPr lang="en-US" altLang="ja-JP"/>
                  <a:t>]</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77401088"/>
        <c:crosses val="autoZero"/>
        <c:crossBetween val="midCat"/>
      </c:valAx>
      <c:valAx>
        <c:axId val="377401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ja-JP" i="1"/>
                  <a:t>t</a:t>
                </a:r>
                <a:r>
                  <a:rPr lang="en-US" altLang="ja-JP" i="0" baseline="0"/>
                  <a:t> [nm]</a:t>
                </a:r>
                <a:endParaRPr lang="ja-JP" altLang="en-US" i="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773934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50064</xdr:colOff>
      <xdr:row>3</xdr:row>
      <xdr:rowOff>14725</xdr:rowOff>
    </xdr:from>
    <xdr:to>
      <xdr:col>11</xdr:col>
      <xdr:colOff>600292</xdr:colOff>
      <xdr:row>6</xdr:row>
      <xdr:rowOff>166001</xdr:rowOff>
    </xdr:to>
    <xdr:sp macro="" textlink="">
      <xdr:nvSpPr>
        <xdr:cNvPr id="3" name="テキスト ボックス 2">
          <a:extLst>
            <a:ext uri="{FF2B5EF4-FFF2-40B4-BE49-F238E27FC236}">
              <a16:creationId xmlns:a16="http://schemas.microsoft.com/office/drawing/2014/main" id="{EB8C8F8A-EA7C-26D4-12D9-97F5FD91DF43}"/>
            </a:ext>
          </a:extLst>
        </xdr:cNvPr>
        <xdr:cNvSpPr txBox="1"/>
      </xdr:nvSpPr>
      <xdr:spPr>
        <a:xfrm>
          <a:off x="9216650" y="697187"/>
          <a:ext cx="2612341" cy="838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←必要なのは蒸発した質量である為</a:t>
          </a:r>
          <a:endParaRPr kumimoji="1" lang="en-US" altLang="ja-JP" sz="1100"/>
        </a:p>
        <a:p>
          <a:r>
            <a:rPr kumimoji="1" lang="ja-JP" altLang="en-US" sz="1100"/>
            <a:t>　コニカルバスケットのみの質量は</a:t>
          </a:r>
          <a:endParaRPr kumimoji="1" lang="en-US" altLang="ja-JP" sz="1100"/>
        </a:p>
        <a:p>
          <a:r>
            <a:rPr kumimoji="1" lang="ja-JP" altLang="en-US" sz="1100"/>
            <a:t>　必要ではないと思う</a:t>
          </a:r>
        </a:p>
      </xdr:txBody>
    </xdr:sp>
    <xdr:clientData/>
  </xdr:twoCellAnchor>
  <xdr:twoCellAnchor>
    <xdr:from>
      <xdr:col>1</xdr:col>
      <xdr:colOff>145792</xdr:colOff>
      <xdr:row>18</xdr:row>
      <xdr:rowOff>126351</xdr:rowOff>
    </xdr:from>
    <xdr:to>
      <xdr:col>4</xdr:col>
      <xdr:colOff>583163</xdr:colOff>
      <xdr:row>21</xdr:row>
      <xdr:rowOff>92334</xdr:rowOff>
    </xdr:to>
    <xdr:sp macro="" textlink="">
      <xdr:nvSpPr>
        <xdr:cNvPr id="13" name="テキスト ボックス 12">
          <a:extLst>
            <a:ext uri="{FF2B5EF4-FFF2-40B4-BE49-F238E27FC236}">
              <a16:creationId xmlns:a16="http://schemas.microsoft.com/office/drawing/2014/main" id="{91144F49-4BF3-4F1E-86AB-83B745B8828E}"/>
            </a:ext>
          </a:extLst>
        </xdr:cNvPr>
        <xdr:cNvSpPr txBox="1"/>
      </xdr:nvSpPr>
      <xdr:spPr>
        <a:xfrm>
          <a:off x="831009" y="4193915"/>
          <a:ext cx="3625331" cy="6366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上の表の列数はあくまで目安なのでこれより</a:t>
          </a:r>
          <a:endParaRPr kumimoji="1" lang="en-US" altLang="ja-JP" sz="1100"/>
        </a:p>
        <a:p>
          <a:r>
            <a:rPr kumimoji="1" lang="ja-JP" altLang="en-US" sz="1100"/>
            <a:t>　少なくなることもあれば多くなることもあるかも</a:t>
          </a:r>
        </a:p>
      </xdr:txBody>
    </xdr:sp>
    <xdr:clientData/>
  </xdr:twoCellAnchor>
  <xdr:twoCellAnchor editAs="oneCell">
    <xdr:from>
      <xdr:col>8</xdr:col>
      <xdr:colOff>262283</xdr:colOff>
      <xdr:row>9</xdr:row>
      <xdr:rowOff>1</xdr:rowOff>
    </xdr:from>
    <xdr:to>
      <xdr:col>11</xdr:col>
      <xdr:colOff>236673</xdr:colOff>
      <xdr:row>17</xdr:row>
      <xdr:rowOff>207939</xdr:rowOff>
    </xdr:to>
    <xdr:pic>
      <xdr:nvPicPr>
        <xdr:cNvPr id="23" name="図 22">
          <a:extLst>
            <a:ext uri="{FF2B5EF4-FFF2-40B4-BE49-F238E27FC236}">
              <a16:creationId xmlns:a16="http://schemas.microsoft.com/office/drawing/2014/main" id="{1DEDF581-BFDC-3AF6-2740-7039D88E4EAC}"/>
            </a:ext>
          </a:extLst>
        </xdr:cNvPr>
        <xdr:cNvPicPr>
          <a:picLocks noChangeAspect="1"/>
        </xdr:cNvPicPr>
      </xdr:nvPicPr>
      <xdr:blipFill>
        <a:blip xmlns:r="http://schemas.openxmlformats.org/officeDocument/2006/relationships" r:embed="rId1"/>
        <a:stretch>
          <a:fillRect/>
        </a:stretch>
      </xdr:blipFill>
      <xdr:spPr>
        <a:xfrm>
          <a:off x="9217854" y="2032692"/>
          <a:ext cx="2034690" cy="2039920"/>
        </a:xfrm>
        <a:prstGeom prst="rect">
          <a:avLst/>
        </a:prstGeom>
      </xdr:spPr>
    </xdr:pic>
    <xdr:clientData/>
  </xdr:twoCellAnchor>
  <xdr:twoCellAnchor>
    <xdr:from>
      <xdr:col>9</xdr:col>
      <xdr:colOff>10001</xdr:colOff>
      <xdr:row>18</xdr:row>
      <xdr:rowOff>62978</xdr:rowOff>
    </xdr:from>
    <xdr:to>
      <xdr:col>10</xdr:col>
      <xdr:colOff>425449</xdr:colOff>
      <xdr:row>20</xdr:row>
      <xdr:rowOff>146050</xdr:rowOff>
    </xdr:to>
    <mc:AlternateContent xmlns:mc="http://schemas.openxmlformats.org/markup-compatibility/2006" xmlns:a14="http://schemas.microsoft.com/office/drawing/2010/main">
      <mc:Choice Requires="a14">
        <xdr:sp macro="" textlink="">
          <xdr:nvSpPr>
            <xdr:cNvPr id="24" name="テキスト ボックス 23">
              <a:extLst>
                <a:ext uri="{FF2B5EF4-FFF2-40B4-BE49-F238E27FC236}">
                  <a16:creationId xmlns:a16="http://schemas.microsoft.com/office/drawing/2014/main" id="{58775D56-DDE3-48F5-E2F3-185A05D7D1C3}"/>
                </a:ext>
              </a:extLst>
            </xdr:cNvPr>
            <xdr:cNvSpPr txBox="1"/>
          </xdr:nvSpPr>
          <xdr:spPr>
            <a:xfrm>
              <a:off x="9871552" y="4114278"/>
              <a:ext cx="1101248" cy="5275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func>
                      <m:funcPr>
                        <m:ctrlPr>
                          <a:rPr kumimoji="1" lang="en-US" altLang="ja-JP" sz="1600" i="1">
                            <a:latin typeface="Cambria Math" panose="02040503050406030204" pitchFamily="18" charset="0"/>
                          </a:rPr>
                        </m:ctrlPr>
                      </m:funcPr>
                      <m:fName>
                        <m:r>
                          <m:rPr>
                            <m:sty m:val="p"/>
                          </m:rPr>
                          <a:rPr kumimoji="1" lang="en-US" altLang="ja-JP" sz="1600" i="0">
                            <a:latin typeface="Cambria Math" panose="02040503050406030204" pitchFamily="18" charset="0"/>
                          </a:rPr>
                          <m:t>cos</m:t>
                        </m:r>
                      </m:fName>
                      <m:e>
                        <m:r>
                          <a:rPr kumimoji="1" lang="ja-JP" altLang="en-US" sz="1600" i="1">
                            <a:latin typeface="Cambria Math" panose="02040503050406030204" pitchFamily="18" charset="0"/>
                          </a:rPr>
                          <m:t>𝜃</m:t>
                        </m:r>
                        <m:r>
                          <a:rPr kumimoji="1" lang="en-US" altLang="ja-JP" sz="1600" b="0" i="1">
                            <a:latin typeface="Cambria Math" panose="02040503050406030204" pitchFamily="18" charset="0"/>
                          </a:rPr>
                          <m:t>=</m:t>
                        </m:r>
                        <m:f>
                          <m:fPr>
                            <m:ctrlPr>
                              <a:rPr kumimoji="1" lang="en-US" altLang="ja-JP" sz="1600" b="0" i="1">
                                <a:latin typeface="Cambria Math" panose="02040503050406030204" pitchFamily="18" charset="0"/>
                              </a:rPr>
                            </m:ctrlPr>
                          </m:fPr>
                          <m:num>
                            <m:r>
                              <a:rPr kumimoji="1" lang="en-US" altLang="ja-JP" sz="1600" b="0" i="1">
                                <a:latin typeface="Cambria Math" panose="02040503050406030204" pitchFamily="18" charset="0"/>
                              </a:rPr>
                              <m:t>h</m:t>
                            </m:r>
                          </m:num>
                          <m:den>
                            <m:r>
                              <a:rPr kumimoji="1" lang="en-US" altLang="ja-JP" sz="1600" b="0" i="1">
                                <a:latin typeface="Cambria Math" panose="02040503050406030204" pitchFamily="18" charset="0"/>
                              </a:rPr>
                              <m:t>𝑟</m:t>
                            </m:r>
                          </m:den>
                        </m:f>
                      </m:e>
                    </m:func>
                  </m:oMath>
                </m:oMathPara>
              </a14:m>
              <a:endParaRPr kumimoji="1" lang="ja-JP" altLang="en-US" sz="1600"/>
            </a:p>
          </xdr:txBody>
        </xdr:sp>
      </mc:Choice>
      <mc:Fallback xmlns="">
        <xdr:sp macro="" textlink="">
          <xdr:nvSpPr>
            <xdr:cNvPr id="24" name="テキスト ボックス 23">
              <a:extLst>
                <a:ext uri="{FF2B5EF4-FFF2-40B4-BE49-F238E27FC236}">
                  <a16:creationId xmlns:a16="http://schemas.microsoft.com/office/drawing/2014/main" id="{58775D56-DDE3-48F5-E2F3-185A05D7D1C3}"/>
                </a:ext>
              </a:extLst>
            </xdr:cNvPr>
            <xdr:cNvSpPr txBox="1"/>
          </xdr:nvSpPr>
          <xdr:spPr>
            <a:xfrm>
              <a:off x="9871552" y="4114278"/>
              <a:ext cx="1101248" cy="5275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kumimoji="1" lang="en-US" altLang="ja-JP" sz="1600" i="0">
                  <a:latin typeface="Cambria Math" panose="02040503050406030204" pitchFamily="18" charset="0"/>
                </a:rPr>
                <a:t>cos⁡〖</a:t>
              </a:r>
              <a:r>
                <a:rPr kumimoji="1" lang="ja-JP" altLang="en-US" sz="1600" i="0">
                  <a:latin typeface="Cambria Math" panose="02040503050406030204" pitchFamily="18" charset="0"/>
                </a:rPr>
                <a:t>𝜃</a:t>
              </a:r>
              <a:r>
                <a:rPr kumimoji="1" lang="en-US" altLang="ja-JP" sz="1600" b="0" i="0">
                  <a:latin typeface="Cambria Math" panose="02040503050406030204" pitchFamily="18" charset="0"/>
                </a:rPr>
                <a:t>=ℎ/𝑟〗</a:t>
              </a:r>
              <a:endParaRPr kumimoji="1" lang="ja-JP" altLang="en-US" sz="1600"/>
            </a:p>
          </xdr:txBody>
        </xdr:sp>
      </mc:Fallback>
    </mc:AlternateContent>
    <xdr:clientData/>
  </xdr:twoCellAnchor>
  <xdr:twoCellAnchor editAs="oneCell">
    <xdr:from>
      <xdr:col>5</xdr:col>
      <xdr:colOff>600764</xdr:colOff>
      <xdr:row>21</xdr:row>
      <xdr:rowOff>206563</xdr:rowOff>
    </xdr:from>
    <xdr:to>
      <xdr:col>6</xdr:col>
      <xdr:colOff>1346863</xdr:colOff>
      <xdr:row>28</xdr:row>
      <xdr:rowOff>183560</xdr:rowOff>
    </xdr:to>
    <xdr:pic>
      <xdr:nvPicPr>
        <xdr:cNvPr id="26" name="図 25">
          <a:extLst>
            <a:ext uri="{FF2B5EF4-FFF2-40B4-BE49-F238E27FC236}">
              <a16:creationId xmlns:a16="http://schemas.microsoft.com/office/drawing/2014/main" id="{947B1A60-CFB7-01B0-AABD-D47A6AB537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55524" y="4999592"/>
          <a:ext cx="2162890" cy="1558392"/>
        </a:xfrm>
        <a:prstGeom prst="rect">
          <a:avLst/>
        </a:prstGeom>
      </xdr:spPr>
    </xdr:pic>
    <xdr:clientData/>
  </xdr:twoCellAnchor>
  <xdr:oneCellAnchor>
    <xdr:from>
      <xdr:col>2</xdr:col>
      <xdr:colOff>453992</xdr:colOff>
      <xdr:row>25</xdr:row>
      <xdr:rowOff>26339</xdr:rowOff>
    </xdr:from>
    <xdr:ext cx="75405" cy="173766"/>
    <mc:AlternateContent xmlns:mc="http://schemas.openxmlformats.org/markup-compatibility/2006" xmlns:a14="http://schemas.microsoft.com/office/drawing/2010/main">
      <mc:Choice Requires="a14">
        <xdr:sp macro="" textlink="">
          <xdr:nvSpPr>
            <xdr:cNvPr id="27" name="テキスト ボックス 26">
              <a:extLst>
                <a:ext uri="{FF2B5EF4-FFF2-40B4-BE49-F238E27FC236}">
                  <a16:creationId xmlns:a16="http://schemas.microsoft.com/office/drawing/2014/main" id="{266B460D-9145-0A21-327F-0B4D27B49CA4}"/>
                </a:ext>
              </a:extLst>
            </xdr:cNvPr>
            <xdr:cNvSpPr txBox="1"/>
          </xdr:nvSpPr>
          <xdr:spPr>
            <a:xfrm>
              <a:off x="1824426" y="5658725"/>
              <a:ext cx="7540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𝑙</m:t>
                    </m:r>
                  </m:oMath>
                </m:oMathPara>
              </a14:m>
              <a:endParaRPr kumimoji="1" lang="ja-JP" altLang="en-US" sz="1100"/>
            </a:p>
          </xdr:txBody>
        </xdr:sp>
      </mc:Choice>
      <mc:Fallback xmlns="">
        <xdr:sp macro="" textlink="">
          <xdr:nvSpPr>
            <xdr:cNvPr id="27" name="テキスト ボックス 26">
              <a:extLst>
                <a:ext uri="{FF2B5EF4-FFF2-40B4-BE49-F238E27FC236}">
                  <a16:creationId xmlns:a16="http://schemas.microsoft.com/office/drawing/2014/main" id="{266B460D-9145-0A21-327F-0B4D27B49CA4}"/>
                </a:ext>
              </a:extLst>
            </xdr:cNvPr>
            <xdr:cNvSpPr txBox="1"/>
          </xdr:nvSpPr>
          <xdr:spPr>
            <a:xfrm>
              <a:off x="1824426" y="5658725"/>
              <a:ext cx="7540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en-US" altLang="ja-JP" sz="1100" b="0" i="0">
                  <a:latin typeface="Cambria Math" panose="02040503050406030204" pitchFamily="18" charset="0"/>
                </a:rPr>
                <a:t>𝑙</a:t>
              </a:r>
              <a:endParaRPr kumimoji="1" lang="ja-JP" altLang="en-US" sz="1100"/>
            </a:p>
          </xdr:txBody>
        </xdr:sp>
      </mc:Fallback>
    </mc:AlternateContent>
    <xdr:clientData/>
  </xdr:oneCellAnchor>
  <xdr:oneCellAnchor>
    <xdr:from>
      <xdr:col>3</xdr:col>
      <xdr:colOff>563725</xdr:colOff>
      <xdr:row>25</xdr:row>
      <xdr:rowOff>14579</xdr:rowOff>
    </xdr:from>
    <xdr:ext cx="159467" cy="173766"/>
    <mc:AlternateContent xmlns:mc="http://schemas.openxmlformats.org/markup-compatibility/2006" xmlns:a14="http://schemas.microsoft.com/office/drawing/2010/main">
      <mc:Choice Requires="a14">
        <xdr:sp macro="" textlink="">
          <xdr:nvSpPr>
            <xdr:cNvPr id="28" name="テキスト ボックス 27">
              <a:extLst>
                <a:ext uri="{FF2B5EF4-FFF2-40B4-BE49-F238E27FC236}">
                  <a16:creationId xmlns:a16="http://schemas.microsoft.com/office/drawing/2014/main" id="{8E6C1281-37D2-483F-AC6D-3CE173E2127A}"/>
                </a:ext>
              </a:extLst>
            </xdr:cNvPr>
            <xdr:cNvSpPr txBox="1"/>
          </xdr:nvSpPr>
          <xdr:spPr>
            <a:xfrm>
              <a:off x="3081046" y="5646965"/>
              <a:ext cx="1594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rPr>
                      <m:t>𝑙</m:t>
                    </m:r>
                  </m:oMath>
                </m:oMathPara>
              </a14:m>
              <a:endParaRPr kumimoji="1" lang="ja-JP" altLang="en-US" sz="1100"/>
            </a:p>
          </xdr:txBody>
        </xdr:sp>
      </mc:Choice>
      <mc:Fallback xmlns="">
        <xdr:sp macro="" textlink="">
          <xdr:nvSpPr>
            <xdr:cNvPr id="28" name="テキスト ボックス 27">
              <a:extLst>
                <a:ext uri="{FF2B5EF4-FFF2-40B4-BE49-F238E27FC236}">
                  <a16:creationId xmlns:a16="http://schemas.microsoft.com/office/drawing/2014/main" id="{8E6C1281-37D2-483F-AC6D-3CE173E2127A}"/>
                </a:ext>
              </a:extLst>
            </xdr:cNvPr>
            <xdr:cNvSpPr txBox="1"/>
          </xdr:nvSpPr>
          <xdr:spPr>
            <a:xfrm>
              <a:off x="3081046" y="5646965"/>
              <a:ext cx="1594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en-US" altLang="ja-JP" sz="1100" b="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rPr>
                <a:t>𝑙</a:t>
              </a:r>
              <a:endParaRPr kumimoji="1" lang="ja-JP" altLang="en-US" sz="1100"/>
            </a:p>
          </xdr:txBody>
        </xdr:sp>
      </mc:Fallback>
    </mc:AlternateContent>
    <xdr:clientData/>
  </xdr:oneCellAnchor>
  <xdr:twoCellAnchor>
    <xdr:from>
      <xdr:col>0</xdr:col>
      <xdr:colOff>570075</xdr:colOff>
      <xdr:row>39</xdr:row>
      <xdr:rowOff>129786</xdr:rowOff>
    </xdr:from>
    <xdr:to>
      <xdr:col>5</xdr:col>
      <xdr:colOff>103544</xdr:colOff>
      <xdr:row>42</xdr:row>
      <xdr:rowOff>68099</xdr:rowOff>
    </xdr:to>
    <mc:AlternateContent xmlns:mc="http://schemas.openxmlformats.org/markup-compatibility/2006" xmlns:a14="http://schemas.microsoft.com/office/drawing/2010/main">
      <mc:Choice Requires="a14">
        <xdr:sp macro="" textlink="">
          <xdr:nvSpPr>
            <xdr:cNvPr id="29" name="テキスト ボックス 28">
              <a:extLst>
                <a:ext uri="{FF2B5EF4-FFF2-40B4-BE49-F238E27FC236}">
                  <a16:creationId xmlns:a16="http://schemas.microsoft.com/office/drawing/2014/main" id="{5062D45F-6DD1-CA91-B647-4D66260898EC}"/>
                </a:ext>
              </a:extLst>
            </xdr:cNvPr>
            <xdr:cNvSpPr txBox="1"/>
          </xdr:nvSpPr>
          <xdr:spPr>
            <a:xfrm>
              <a:off x="570075" y="8880086"/>
              <a:ext cx="4899220" cy="605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14:m>
                <m:oMath xmlns:m="http://schemas.openxmlformats.org/officeDocument/2006/math">
                  <m:r>
                    <a:rPr kumimoji="1" lang="ja-JP" altLang="en-US" sz="1100" b="0" i="1">
                      <a:latin typeface="Cambria Math" panose="02040503050406030204" pitchFamily="18" charset="0"/>
                    </a:rPr>
                    <m:t>また、</m:t>
                  </m:r>
                  <m:r>
                    <a:rPr kumimoji="1" lang="en-US" altLang="ja-JP" sz="1100" b="0" i="1">
                      <a:latin typeface="Cambria Math" panose="02040503050406030204" pitchFamily="18" charset="0"/>
                    </a:rPr>
                    <m:t>𝑙</m:t>
                  </m:r>
                  <m:r>
                    <a:rPr kumimoji="1" lang="en-US" altLang="ja-JP" sz="1100" b="0" i="1">
                      <a:latin typeface="Cambria Math" panose="02040503050406030204" pitchFamily="18" charset="0"/>
                    </a:rPr>
                    <m:t>, ∆</m:t>
                  </m:r>
                  <m:r>
                    <a:rPr kumimoji="1" lang="en-US" altLang="ja-JP" sz="1100" b="0" i="1">
                      <a:latin typeface="Cambria Math" panose="02040503050406030204" pitchFamily="18" charset="0"/>
                    </a:rPr>
                    <m:t>𝑙</m:t>
                  </m:r>
                  <m:r>
                    <a:rPr kumimoji="1" lang="en-US" altLang="ja-JP" sz="1100" b="0" i="1">
                      <a:latin typeface="Cambria Math" panose="02040503050406030204" pitchFamily="18" charset="0"/>
                    </a:rPr>
                    <m:t> </m:t>
                  </m:r>
                </m:oMath>
              </a14:m>
              <a:r>
                <a:rPr kumimoji="1" lang="ja-JP" altLang="en-US" sz="1100"/>
                <a:t>に関しては</a:t>
              </a:r>
              <a:r>
                <a:rPr kumimoji="1" lang="en-US" altLang="ja-JP" sz="1100"/>
                <a:t>PC</a:t>
              </a:r>
              <a:r>
                <a:rPr kumimoji="1" lang="ja-JP" altLang="en-US" sz="1100"/>
                <a:t>で映し出されたものを定規で測ることが想定されるため単位はここには書かないので必要な場合は適宜書き加えて</a:t>
              </a:r>
            </a:p>
          </xdr:txBody>
        </xdr:sp>
      </mc:Choice>
      <mc:Fallback xmlns="">
        <xdr:sp macro="" textlink="">
          <xdr:nvSpPr>
            <xdr:cNvPr id="29" name="テキスト ボックス 28">
              <a:extLst>
                <a:ext uri="{FF2B5EF4-FFF2-40B4-BE49-F238E27FC236}">
                  <a16:creationId xmlns:a16="http://schemas.microsoft.com/office/drawing/2014/main" id="{5062D45F-6DD1-CA91-B647-4D66260898EC}"/>
                </a:ext>
              </a:extLst>
            </xdr:cNvPr>
            <xdr:cNvSpPr txBox="1"/>
          </xdr:nvSpPr>
          <xdr:spPr>
            <a:xfrm>
              <a:off x="570075" y="8880086"/>
              <a:ext cx="4899220" cy="605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i="0">
                  <a:latin typeface="Cambria Math" panose="02040503050406030204" pitchFamily="18" charset="0"/>
                </a:rPr>
                <a:t>また、</a:t>
              </a:r>
              <a:r>
                <a:rPr kumimoji="1" lang="en-US" altLang="ja-JP" sz="1100" b="0" i="0">
                  <a:latin typeface="Cambria Math" panose="02040503050406030204" pitchFamily="18" charset="0"/>
                </a:rPr>
                <a:t>𝑙, </a:t>
              </a:r>
              <a:r>
                <a:rPr kumimoji="1" lang="ja-JP" altLang="en-US" sz="1100" b="0" i="0">
                  <a:latin typeface="Cambria Math" panose="02040503050406030204" pitchFamily="18" charset="0"/>
                </a:rPr>
                <a:t>∆</a:t>
              </a:r>
              <a:r>
                <a:rPr kumimoji="1" lang="en-US" altLang="ja-JP" sz="1100" b="0" i="0">
                  <a:latin typeface="Cambria Math" panose="02040503050406030204" pitchFamily="18" charset="0"/>
                </a:rPr>
                <a:t>𝑙 </a:t>
              </a:r>
              <a:r>
                <a:rPr kumimoji="1" lang="ja-JP" altLang="en-US" sz="1100"/>
                <a:t>に関しては</a:t>
              </a:r>
              <a:r>
                <a:rPr kumimoji="1" lang="en-US" altLang="ja-JP" sz="1100"/>
                <a:t>PC</a:t>
              </a:r>
              <a:r>
                <a:rPr kumimoji="1" lang="ja-JP" altLang="en-US" sz="1100"/>
                <a:t>で映し出されたものを定規で測ることが想定されるため単位はここには書かないので必要な場合は適宜書き加えて</a:t>
              </a:r>
            </a:p>
          </xdr:txBody>
        </xdr:sp>
      </mc:Fallback>
    </mc:AlternateContent>
    <xdr:clientData/>
  </xdr:twoCellAnchor>
  <xdr:twoCellAnchor>
    <xdr:from>
      <xdr:col>5</xdr:col>
      <xdr:colOff>564608</xdr:colOff>
      <xdr:row>37</xdr:row>
      <xdr:rowOff>111772</xdr:rowOff>
    </xdr:from>
    <xdr:to>
      <xdr:col>9</xdr:col>
      <xdr:colOff>292466</xdr:colOff>
      <xdr:row>39</xdr:row>
      <xdr:rowOff>35342</xdr:rowOff>
    </xdr:to>
    <mc:AlternateContent xmlns:mc="http://schemas.openxmlformats.org/markup-compatibility/2006" xmlns:a14="http://schemas.microsoft.com/office/drawing/2010/main">
      <mc:Choice Requires="a14">
        <xdr:sp macro="" textlink="">
          <xdr:nvSpPr>
            <xdr:cNvPr id="30" name="テキスト ボックス 29">
              <a:extLst>
                <a:ext uri="{FF2B5EF4-FFF2-40B4-BE49-F238E27FC236}">
                  <a16:creationId xmlns:a16="http://schemas.microsoft.com/office/drawing/2014/main" id="{63DE8111-8B11-36A6-EE28-1B6CACAB10F6}"/>
                </a:ext>
              </a:extLst>
            </xdr:cNvPr>
            <xdr:cNvSpPr txBox="1"/>
          </xdr:nvSpPr>
          <xdr:spPr>
            <a:xfrm>
              <a:off x="5927060" y="8443055"/>
              <a:ext cx="4212029" cy="368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教科書より、水銀灯の波長は</a:t>
              </a:r>
              <a14:m>
                <m:oMath xmlns:m="http://schemas.openxmlformats.org/officeDocument/2006/math">
                  <m:r>
                    <a:rPr kumimoji="1" lang="en-US" altLang="ja-JP" sz="1100" b="0" i="1">
                      <a:latin typeface="Cambria Math" panose="02040503050406030204" pitchFamily="18" charset="0"/>
                    </a:rPr>
                    <m:t>546.1 </m:t>
                  </m:r>
                  <m:r>
                    <m:rPr>
                      <m:sty m:val="p"/>
                    </m:rPr>
                    <a:rPr kumimoji="1" lang="en-US" altLang="ja-JP" sz="1100" b="0" i="0">
                      <a:latin typeface="Cambria Math" panose="02040503050406030204" pitchFamily="18" charset="0"/>
                    </a:rPr>
                    <m:t>nm</m:t>
                  </m:r>
                </m:oMath>
              </a14:m>
              <a:r>
                <a:rPr kumimoji="1" lang="ja-JP" altLang="en-US" sz="1100"/>
                <a:t>として計算を行った。</a:t>
              </a:r>
            </a:p>
          </xdr:txBody>
        </xdr:sp>
      </mc:Choice>
      <mc:Fallback xmlns="">
        <xdr:sp macro="" textlink="">
          <xdr:nvSpPr>
            <xdr:cNvPr id="30" name="テキスト ボックス 29">
              <a:extLst>
                <a:ext uri="{FF2B5EF4-FFF2-40B4-BE49-F238E27FC236}">
                  <a16:creationId xmlns:a16="http://schemas.microsoft.com/office/drawing/2014/main" id="{63DE8111-8B11-36A6-EE28-1B6CACAB10F6}"/>
                </a:ext>
              </a:extLst>
            </xdr:cNvPr>
            <xdr:cNvSpPr txBox="1"/>
          </xdr:nvSpPr>
          <xdr:spPr>
            <a:xfrm>
              <a:off x="5927060" y="8443055"/>
              <a:ext cx="4212029" cy="368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教科書より、水銀灯の波長は</a:t>
              </a:r>
              <a:r>
                <a:rPr kumimoji="1" lang="en-US" altLang="ja-JP" sz="1100" b="0" i="0">
                  <a:latin typeface="Cambria Math" panose="02040503050406030204" pitchFamily="18" charset="0"/>
                </a:rPr>
                <a:t>546.1 nm</a:t>
              </a:r>
              <a:r>
                <a:rPr kumimoji="1" lang="ja-JP" altLang="en-US" sz="1100"/>
                <a:t>として計算を行った。</a:t>
              </a:r>
            </a:p>
          </xdr:txBody>
        </xdr:sp>
      </mc:Fallback>
    </mc:AlternateContent>
    <xdr:clientData/>
  </xdr:twoCellAnchor>
  <xdr:twoCellAnchor>
    <xdr:from>
      <xdr:col>5</xdr:col>
      <xdr:colOff>624803</xdr:colOff>
      <xdr:row>34</xdr:row>
      <xdr:rowOff>77154</xdr:rowOff>
    </xdr:from>
    <xdr:to>
      <xdr:col>6</xdr:col>
      <xdr:colOff>584858</xdr:colOff>
      <xdr:row>36</xdr:row>
      <xdr:rowOff>184315</xdr:rowOff>
    </xdr:to>
    <mc:AlternateContent xmlns:mc="http://schemas.openxmlformats.org/markup-compatibility/2006" xmlns:a14="http://schemas.microsoft.com/office/drawing/2010/main">
      <mc:Choice Requires="a14">
        <xdr:sp macro="" textlink="">
          <xdr:nvSpPr>
            <xdr:cNvPr id="32" name="テキスト ボックス 31">
              <a:extLst>
                <a:ext uri="{FF2B5EF4-FFF2-40B4-BE49-F238E27FC236}">
                  <a16:creationId xmlns:a16="http://schemas.microsoft.com/office/drawing/2014/main" id="{68D5868A-F94F-DD0B-8880-5422D3C6F692}"/>
                </a:ext>
              </a:extLst>
            </xdr:cNvPr>
            <xdr:cNvSpPr txBox="1"/>
          </xdr:nvSpPr>
          <xdr:spPr>
            <a:xfrm>
              <a:off x="5987255" y="7721894"/>
              <a:ext cx="1376434" cy="5648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r>
                      <a:rPr kumimoji="1" lang="en-US" altLang="ja-JP" sz="1600" b="0" i="1">
                        <a:latin typeface="Cambria Math" panose="02040503050406030204" pitchFamily="18" charset="0"/>
                      </a:rPr>
                      <m:t>𝑡</m:t>
                    </m:r>
                    <m:r>
                      <a:rPr kumimoji="1" lang="en-US" altLang="ja-JP" sz="1600" b="0" i="1">
                        <a:latin typeface="Cambria Math" panose="02040503050406030204" pitchFamily="18" charset="0"/>
                      </a:rPr>
                      <m:t>=</m:t>
                    </m:r>
                    <m:f>
                      <m:fPr>
                        <m:ctrlPr>
                          <a:rPr kumimoji="1" lang="en-US" altLang="ja-JP" sz="1600" b="0" i="1">
                            <a:latin typeface="Cambria Math" panose="02040503050406030204" pitchFamily="18" charset="0"/>
                            <a:ea typeface="Cambria Math" panose="02040503050406030204" pitchFamily="18" charset="0"/>
                          </a:rPr>
                        </m:ctrlPr>
                      </m:fPr>
                      <m:num>
                        <m:r>
                          <a:rPr kumimoji="1" lang="en-US" altLang="ja-JP" sz="1600" b="0" i="1">
                            <a:latin typeface="Cambria Math" panose="02040503050406030204" pitchFamily="18" charset="0"/>
                            <a:ea typeface="Cambria Math" panose="02040503050406030204" pitchFamily="18" charset="0"/>
                          </a:rPr>
                          <m:t>∆</m:t>
                        </m:r>
                        <m:r>
                          <a:rPr kumimoji="1" lang="en-US" altLang="ja-JP" sz="1600" b="0" i="1">
                            <a:latin typeface="Cambria Math" panose="02040503050406030204" pitchFamily="18" charset="0"/>
                            <a:ea typeface="Cambria Math" panose="02040503050406030204" pitchFamily="18" charset="0"/>
                          </a:rPr>
                          <m:t>𝑙</m:t>
                        </m:r>
                      </m:num>
                      <m:den>
                        <m:r>
                          <a:rPr kumimoji="1" lang="en-US" altLang="ja-JP" sz="1600" b="0" i="1">
                            <a:latin typeface="Cambria Math" panose="02040503050406030204" pitchFamily="18" charset="0"/>
                            <a:ea typeface="Cambria Math" panose="02040503050406030204" pitchFamily="18" charset="0"/>
                          </a:rPr>
                          <m:t>𝑙</m:t>
                        </m:r>
                      </m:den>
                    </m:f>
                    <m:f>
                      <m:fPr>
                        <m:ctrlPr>
                          <a:rPr kumimoji="1" lang="en-US" altLang="ja-JP" sz="1600" b="0" i="1">
                            <a:latin typeface="Cambria Math" panose="02040503050406030204" pitchFamily="18" charset="0"/>
                            <a:ea typeface="Cambria Math" panose="02040503050406030204" pitchFamily="18" charset="0"/>
                          </a:rPr>
                        </m:ctrlPr>
                      </m:fPr>
                      <m:num>
                        <m:r>
                          <m:rPr>
                            <m:sty m:val="p"/>
                          </m:rPr>
                          <a:rPr kumimoji="1" lang="en-US" altLang="ja-JP" sz="1600" b="0" i="1">
                            <a:latin typeface="Cambria Math" panose="02040503050406030204" pitchFamily="18" charset="0"/>
                            <a:ea typeface="Cambria Math" panose="02040503050406030204" pitchFamily="18" charset="0"/>
                          </a:rPr>
                          <m:t>λ</m:t>
                        </m:r>
                      </m:num>
                      <m:den>
                        <m:r>
                          <a:rPr kumimoji="1" lang="en-US" altLang="ja-JP" sz="1600" b="0" i="1">
                            <a:latin typeface="Cambria Math" panose="02040503050406030204" pitchFamily="18" charset="0"/>
                            <a:ea typeface="Cambria Math" panose="02040503050406030204" pitchFamily="18" charset="0"/>
                          </a:rPr>
                          <m:t>2</m:t>
                        </m:r>
                      </m:den>
                    </m:f>
                    <m:r>
                      <a:rPr kumimoji="1" lang="en-US" altLang="ja-JP" sz="1600" b="0" i="1">
                        <a:latin typeface="Cambria Math" panose="02040503050406030204" pitchFamily="18" charset="0"/>
                        <a:ea typeface="Cambria Math" panose="02040503050406030204" pitchFamily="18" charset="0"/>
                      </a:rPr>
                      <m:t> </m:t>
                    </m:r>
                  </m:oMath>
                </m:oMathPara>
              </a14:m>
              <a:endParaRPr kumimoji="1" lang="ja-JP" altLang="en-US" sz="1600"/>
            </a:p>
          </xdr:txBody>
        </xdr:sp>
      </mc:Choice>
      <mc:Fallback xmlns="">
        <xdr:sp macro="" textlink="">
          <xdr:nvSpPr>
            <xdr:cNvPr id="32" name="テキスト ボックス 31">
              <a:extLst>
                <a:ext uri="{FF2B5EF4-FFF2-40B4-BE49-F238E27FC236}">
                  <a16:creationId xmlns:a16="http://schemas.microsoft.com/office/drawing/2014/main" id="{68D5868A-F94F-DD0B-8880-5422D3C6F692}"/>
                </a:ext>
              </a:extLst>
            </xdr:cNvPr>
            <xdr:cNvSpPr txBox="1"/>
          </xdr:nvSpPr>
          <xdr:spPr>
            <a:xfrm>
              <a:off x="5987255" y="7721894"/>
              <a:ext cx="1376434" cy="5648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kumimoji="1" lang="en-US" altLang="ja-JP" sz="1600" b="0" i="0">
                  <a:latin typeface="Cambria Math" panose="02040503050406030204" pitchFamily="18" charset="0"/>
                </a:rPr>
                <a:t>𝑡=</a:t>
              </a:r>
              <a:r>
                <a:rPr kumimoji="1" lang="en-US" altLang="ja-JP" sz="1600" b="0" i="0">
                  <a:latin typeface="Cambria Math" panose="02040503050406030204" pitchFamily="18" charset="0"/>
                  <a:ea typeface="Cambria Math" panose="02040503050406030204" pitchFamily="18" charset="0"/>
                </a:rPr>
                <a:t>∆𝑙/𝑙  λ/2  </a:t>
              </a:r>
              <a:endParaRPr kumimoji="1" lang="ja-JP" altLang="en-US" sz="1600"/>
            </a:p>
          </xdr:txBody>
        </xdr:sp>
      </mc:Fallback>
    </mc:AlternateContent>
    <xdr:clientData/>
  </xdr:twoCellAnchor>
  <xdr:twoCellAnchor>
    <xdr:from>
      <xdr:col>11</xdr:col>
      <xdr:colOff>661435</xdr:colOff>
      <xdr:row>5</xdr:row>
      <xdr:rowOff>111345</xdr:rowOff>
    </xdr:from>
    <xdr:to>
      <xdr:col>19</xdr:col>
      <xdr:colOff>280202</xdr:colOff>
      <xdr:row>23</xdr:row>
      <xdr:rowOff>40559</xdr:rowOff>
    </xdr:to>
    <xdr:graphicFrame macro="">
      <xdr:nvGraphicFramePr>
        <xdr:cNvPr id="34" name="グラフ 33">
          <a:extLst>
            <a:ext uri="{FF2B5EF4-FFF2-40B4-BE49-F238E27FC236}">
              <a16:creationId xmlns:a16="http://schemas.microsoft.com/office/drawing/2014/main" id="{6B54666E-94C6-E679-6F37-5846ED25E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453992</xdr:colOff>
      <xdr:row>43</xdr:row>
      <xdr:rowOff>26339</xdr:rowOff>
    </xdr:from>
    <xdr:ext cx="75405" cy="173766"/>
    <mc:AlternateContent xmlns:mc="http://schemas.openxmlformats.org/markup-compatibility/2006" xmlns:a14="http://schemas.microsoft.com/office/drawing/2010/main">
      <mc:Choice Requires="a14">
        <xdr:sp macro="" textlink="">
          <xdr:nvSpPr>
            <xdr:cNvPr id="35" name="テキスト ボックス 34">
              <a:extLst>
                <a:ext uri="{FF2B5EF4-FFF2-40B4-BE49-F238E27FC236}">
                  <a16:creationId xmlns:a16="http://schemas.microsoft.com/office/drawing/2014/main" id="{A0000F94-F933-4626-BE3F-1F7EFB506520}"/>
                </a:ext>
              </a:extLst>
            </xdr:cNvPr>
            <xdr:cNvSpPr txBox="1"/>
          </xdr:nvSpPr>
          <xdr:spPr>
            <a:xfrm>
              <a:off x="1825592" y="5639739"/>
              <a:ext cx="7540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𝑙</m:t>
                    </m:r>
                  </m:oMath>
                </m:oMathPara>
              </a14:m>
              <a:endParaRPr kumimoji="1" lang="ja-JP" altLang="en-US" sz="1100"/>
            </a:p>
          </xdr:txBody>
        </xdr:sp>
      </mc:Choice>
      <mc:Fallback xmlns="">
        <xdr:sp macro="" textlink="">
          <xdr:nvSpPr>
            <xdr:cNvPr id="35" name="テキスト ボックス 34">
              <a:extLst>
                <a:ext uri="{FF2B5EF4-FFF2-40B4-BE49-F238E27FC236}">
                  <a16:creationId xmlns:a16="http://schemas.microsoft.com/office/drawing/2014/main" id="{A0000F94-F933-4626-BE3F-1F7EFB506520}"/>
                </a:ext>
              </a:extLst>
            </xdr:cNvPr>
            <xdr:cNvSpPr txBox="1"/>
          </xdr:nvSpPr>
          <xdr:spPr>
            <a:xfrm>
              <a:off x="1825592" y="5639739"/>
              <a:ext cx="7540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en-US" altLang="ja-JP" sz="1100" b="0" i="0">
                  <a:latin typeface="Cambria Math" panose="02040503050406030204" pitchFamily="18" charset="0"/>
                </a:rPr>
                <a:t>𝑙</a:t>
              </a:r>
              <a:endParaRPr kumimoji="1" lang="ja-JP" altLang="en-US" sz="1100"/>
            </a:p>
          </xdr:txBody>
        </xdr:sp>
      </mc:Fallback>
    </mc:AlternateContent>
    <xdr:clientData/>
  </xdr:oneCellAnchor>
  <xdr:oneCellAnchor>
    <xdr:from>
      <xdr:col>3</xdr:col>
      <xdr:colOff>563725</xdr:colOff>
      <xdr:row>43</xdr:row>
      <xdr:rowOff>14579</xdr:rowOff>
    </xdr:from>
    <xdr:ext cx="159467" cy="173766"/>
    <mc:AlternateContent xmlns:mc="http://schemas.openxmlformats.org/markup-compatibility/2006" xmlns:a14="http://schemas.microsoft.com/office/drawing/2010/main">
      <mc:Choice Requires="a14">
        <xdr:sp macro="" textlink="">
          <xdr:nvSpPr>
            <xdr:cNvPr id="36" name="テキスト ボックス 35">
              <a:extLst>
                <a:ext uri="{FF2B5EF4-FFF2-40B4-BE49-F238E27FC236}">
                  <a16:creationId xmlns:a16="http://schemas.microsoft.com/office/drawing/2014/main" id="{5B02E25C-F761-4D3C-8554-009856B03A0B}"/>
                </a:ext>
              </a:extLst>
            </xdr:cNvPr>
            <xdr:cNvSpPr txBox="1"/>
          </xdr:nvSpPr>
          <xdr:spPr>
            <a:xfrm>
              <a:off x="3084676" y="5627979"/>
              <a:ext cx="1594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rPr>
                      <m:t>𝑙</m:t>
                    </m:r>
                  </m:oMath>
                </m:oMathPara>
              </a14:m>
              <a:endParaRPr kumimoji="1" lang="ja-JP" altLang="en-US" sz="1100"/>
            </a:p>
          </xdr:txBody>
        </xdr:sp>
      </mc:Choice>
      <mc:Fallback xmlns="">
        <xdr:sp macro="" textlink="">
          <xdr:nvSpPr>
            <xdr:cNvPr id="36" name="テキスト ボックス 35">
              <a:extLst>
                <a:ext uri="{FF2B5EF4-FFF2-40B4-BE49-F238E27FC236}">
                  <a16:creationId xmlns:a16="http://schemas.microsoft.com/office/drawing/2014/main" id="{5B02E25C-F761-4D3C-8554-009856B03A0B}"/>
                </a:ext>
              </a:extLst>
            </xdr:cNvPr>
            <xdr:cNvSpPr txBox="1"/>
          </xdr:nvSpPr>
          <xdr:spPr>
            <a:xfrm>
              <a:off x="3084676" y="5627979"/>
              <a:ext cx="1594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en-US" altLang="ja-JP" sz="1100" b="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rPr>
                <a:t>𝑙</a:t>
              </a:r>
              <a:endParaRPr kumimoji="1" lang="ja-JP" altLang="en-US" sz="1100"/>
            </a:p>
          </xdr:txBody>
        </xdr:sp>
      </mc:Fallback>
    </mc:AlternateContent>
    <xdr:clientData/>
  </xdr:oneCellAnchor>
  <xdr:twoCellAnchor>
    <xdr:from>
      <xdr:col>0</xdr:col>
      <xdr:colOff>482600</xdr:colOff>
      <xdr:row>35</xdr:row>
      <xdr:rowOff>76200</xdr:rowOff>
    </xdr:from>
    <xdr:to>
      <xdr:col>5</xdr:col>
      <xdr:colOff>177799</xdr:colOff>
      <xdr:row>38</xdr:row>
      <xdr:rowOff>215899</xdr:rowOff>
    </xdr:to>
    <mc:AlternateContent xmlns:mc="http://schemas.openxmlformats.org/markup-compatibility/2006" xmlns:a14="http://schemas.microsoft.com/office/drawing/2010/main">
      <mc:Choice Requires="a14">
        <xdr:sp macro="" textlink="">
          <xdr:nvSpPr>
            <xdr:cNvPr id="37" name="テキスト ボックス 36">
              <a:extLst>
                <a:ext uri="{FF2B5EF4-FFF2-40B4-BE49-F238E27FC236}">
                  <a16:creationId xmlns:a16="http://schemas.microsoft.com/office/drawing/2014/main" id="{874A7CFA-54BD-83C4-BCF1-BEC90D3204F3}"/>
                </a:ext>
              </a:extLst>
            </xdr:cNvPr>
            <xdr:cNvSpPr txBox="1"/>
          </xdr:nvSpPr>
          <xdr:spPr>
            <a:xfrm>
              <a:off x="482600" y="7937500"/>
              <a:ext cx="5060950" cy="806450"/>
            </a:xfrm>
            <a:prstGeom prst="rect">
              <a:avLst/>
            </a:prstGeom>
            <a:solidFill>
              <a:schemeClr val="lt1"/>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14:m>
                <m:oMath xmlns:m="http://schemas.openxmlformats.org/officeDocument/2006/math">
                  <m:r>
                    <a:rPr kumimoji="1" lang="en-US" altLang="ja-JP" sz="1100" b="0" i="1">
                      <a:latin typeface="Cambria Math" panose="02040503050406030204" pitchFamily="18" charset="0"/>
                    </a:rPr>
                    <m:t>※  </m:t>
                  </m:r>
                  <m:r>
                    <a:rPr kumimoji="1" lang="en-US" altLang="ja-JP" sz="1100" b="0" i="1">
                      <a:latin typeface="Cambria Math" panose="02040503050406030204" pitchFamily="18" charset="0"/>
                    </a:rPr>
                    <m:t>𝑙</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𝑙</m:t>
                  </m:r>
                </m:oMath>
              </a14:m>
              <a:r>
                <a:rPr kumimoji="1" lang="ja-JP" altLang="en-US" sz="1100"/>
                <a:t>の測定に関しては、全ての干渉縞が見えるかは分からないので、下の</a:t>
              </a:r>
              <a:endParaRPr kumimoji="1" lang="en-US" altLang="ja-JP" sz="1100"/>
            </a:p>
            <a:p>
              <a:r>
                <a:rPr kumimoji="1" lang="ja-JP" altLang="en-US" sz="1100"/>
                <a:t>　表に一旦そのまま測定結果を記し、上の</a:t>
              </a:r>
              <a14:m>
                <m:oMath xmlns:m="http://schemas.openxmlformats.org/officeDocument/2006/math">
                  <m:r>
                    <a:rPr kumimoji="1" lang="ja-JP" altLang="en-US" sz="1100" b="0" i="1">
                      <a:latin typeface="Cambria Math" panose="02040503050406030204" pitchFamily="18" charset="0"/>
                    </a:rPr>
                    <m:t>表に</m:t>
                  </m:r>
                  <m:r>
                    <a:rPr kumimoji="1" lang="en-US" altLang="ja-JP" sz="1100" b="0" i="1">
                      <a:latin typeface="Cambria Math" panose="02040503050406030204" pitchFamily="18" charset="0"/>
                    </a:rPr>
                    <m:t>𝑥</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h</m:t>
                  </m:r>
                </m:oMath>
              </a14:m>
              <a:r>
                <a:rPr kumimoji="1" lang="ja-JP" altLang="en-US" sz="1100"/>
                <a:t>などの測定結果と対応で</a:t>
              </a:r>
              <a:endParaRPr kumimoji="1" lang="en-US" altLang="ja-JP" sz="1100"/>
            </a:p>
            <a:p>
              <a:r>
                <a:rPr kumimoji="1" lang="ja-JP" altLang="en-US" sz="1100"/>
                <a:t>　きるように書き直した方が早いかも。</a:t>
              </a:r>
              <a:r>
                <a:rPr kumimoji="1" lang="en-US" altLang="ja-JP" sz="1100"/>
                <a:t>(</a:t>
              </a:r>
              <a:r>
                <a:rPr kumimoji="1" lang="ja-JP" altLang="en-US" sz="1100"/>
                <a:t>実験時にやりやすい方で</a:t>
              </a:r>
              <a:r>
                <a:rPr kumimoji="1" lang="en-US" altLang="ja-JP" sz="1100"/>
                <a:t>)</a:t>
              </a:r>
              <a:endParaRPr kumimoji="1" lang="ja-JP" altLang="en-US" sz="1100"/>
            </a:p>
          </xdr:txBody>
        </xdr:sp>
      </mc:Choice>
      <mc:Fallback xmlns="">
        <xdr:sp macro="" textlink="">
          <xdr:nvSpPr>
            <xdr:cNvPr id="37" name="テキスト ボックス 36">
              <a:extLst>
                <a:ext uri="{FF2B5EF4-FFF2-40B4-BE49-F238E27FC236}">
                  <a16:creationId xmlns:a16="http://schemas.microsoft.com/office/drawing/2014/main" id="{874A7CFA-54BD-83C4-BCF1-BEC90D3204F3}"/>
                </a:ext>
              </a:extLst>
            </xdr:cNvPr>
            <xdr:cNvSpPr txBox="1"/>
          </xdr:nvSpPr>
          <xdr:spPr>
            <a:xfrm>
              <a:off x="482600" y="7937500"/>
              <a:ext cx="5060950" cy="806450"/>
            </a:xfrm>
            <a:prstGeom prst="rect">
              <a:avLst/>
            </a:prstGeom>
            <a:solidFill>
              <a:schemeClr val="lt1"/>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0" i="0">
                  <a:latin typeface="Cambria Math" panose="02040503050406030204" pitchFamily="18" charset="0"/>
                </a:rPr>
                <a:t>※  𝑙,</a:t>
              </a:r>
              <a:r>
                <a:rPr kumimoji="1" lang="en-US" altLang="ja-JP" sz="1100" b="0" i="0">
                  <a:latin typeface="Cambria Math" panose="02040503050406030204" pitchFamily="18" charset="0"/>
                  <a:ea typeface="Cambria Math" panose="02040503050406030204" pitchFamily="18" charset="0"/>
                </a:rPr>
                <a:t>∆𝑙</a:t>
              </a:r>
              <a:r>
                <a:rPr kumimoji="1" lang="ja-JP" altLang="en-US" sz="1100"/>
                <a:t>の測定に関しては、全ての干渉縞が見えるかは分からないので、下の</a:t>
              </a:r>
              <a:endParaRPr kumimoji="1" lang="en-US" altLang="ja-JP" sz="1100"/>
            </a:p>
            <a:p>
              <a:r>
                <a:rPr kumimoji="1" lang="ja-JP" altLang="en-US" sz="1100"/>
                <a:t>　表に一旦そのまま測定結果を記し、上の</a:t>
              </a:r>
              <a:r>
                <a:rPr kumimoji="1" lang="ja-JP" altLang="en-US" sz="1100" b="0" i="0">
                  <a:latin typeface="Cambria Math" panose="02040503050406030204" pitchFamily="18" charset="0"/>
                </a:rPr>
                <a:t>表に</a:t>
              </a:r>
              <a:r>
                <a:rPr kumimoji="1" lang="en-US" altLang="ja-JP" sz="1100" b="0" i="0">
                  <a:latin typeface="Cambria Math" panose="02040503050406030204" pitchFamily="18" charset="0"/>
                </a:rPr>
                <a:t>𝑥,ℎ</a:t>
              </a:r>
              <a:r>
                <a:rPr kumimoji="1" lang="ja-JP" altLang="en-US" sz="1100"/>
                <a:t>などの測定結果と対応で</a:t>
              </a:r>
              <a:endParaRPr kumimoji="1" lang="en-US" altLang="ja-JP" sz="1100"/>
            </a:p>
            <a:p>
              <a:r>
                <a:rPr kumimoji="1" lang="ja-JP" altLang="en-US" sz="1100"/>
                <a:t>　きるように書き直した方が早いかも。</a:t>
              </a:r>
              <a:r>
                <a:rPr kumimoji="1" lang="en-US" altLang="ja-JP" sz="1100"/>
                <a:t>(</a:t>
              </a:r>
              <a:r>
                <a:rPr kumimoji="1" lang="ja-JP" altLang="en-US" sz="1100"/>
                <a:t>実験時にやりやすい方で</a:t>
              </a:r>
              <a:r>
                <a:rPr kumimoji="1" lang="en-US" altLang="ja-JP" sz="1100"/>
                <a:t>)</a:t>
              </a:r>
              <a:endParaRPr kumimoji="1" lang="ja-JP" altLang="en-US" sz="1100"/>
            </a:p>
          </xdr:txBody>
        </xdr:sp>
      </mc:Fallback>
    </mc:AlternateContent>
    <xdr:clientData/>
  </xdr:twoCellAnchor>
  <xdr:twoCellAnchor>
    <xdr:from>
      <xdr:col>12</xdr:col>
      <xdr:colOff>186871</xdr:colOff>
      <xdr:row>24</xdr:row>
      <xdr:rowOff>186870</xdr:rowOff>
    </xdr:from>
    <xdr:to>
      <xdr:col>14</xdr:col>
      <xdr:colOff>250371</xdr:colOff>
      <xdr:row>27</xdr:row>
      <xdr:rowOff>180522</xdr:rowOff>
    </xdr:to>
    <mc:AlternateContent xmlns:mc="http://schemas.openxmlformats.org/markup-compatibility/2006" xmlns:a14="http://schemas.microsoft.com/office/drawing/2010/main">
      <mc:Choice Requires="a14">
        <xdr:sp macro="" textlink="">
          <xdr:nvSpPr>
            <xdr:cNvPr id="2" name="テキスト ボックス 1">
              <a:extLst>
                <a:ext uri="{FF2B5EF4-FFF2-40B4-BE49-F238E27FC236}">
                  <a16:creationId xmlns:a16="http://schemas.microsoft.com/office/drawing/2014/main" id="{75946DBA-536E-8954-E507-AB8865B12911}"/>
                </a:ext>
              </a:extLst>
            </xdr:cNvPr>
            <xdr:cNvSpPr txBox="1"/>
          </xdr:nvSpPr>
          <xdr:spPr>
            <a:xfrm>
              <a:off x="12115800" y="5675084"/>
              <a:ext cx="1439333" cy="674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r>
                      <a:rPr kumimoji="1" lang="en-US" altLang="ja-JP" sz="1600" b="0" i="1">
                        <a:latin typeface="Cambria Math" panose="02040503050406030204" pitchFamily="18" charset="0"/>
                      </a:rPr>
                      <m:t>𝑡</m:t>
                    </m:r>
                    <m:r>
                      <a:rPr kumimoji="1" lang="en-US" altLang="ja-JP" sz="1600" b="0" i="1">
                        <a:latin typeface="Cambria Math" panose="02040503050406030204" pitchFamily="18" charset="0"/>
                      </a:rPr>
                      <m:t>=</m:t>
                    </m:r>
                    <m:f>
                      <m:fPr>
                        <m:ctrlPr>
                          <a:rPr kumimoji="1" lang="en-US" altLang="ja-JP" sz="1600" b="0" i="1">
                            <a:latin typeface="Cambria Math" panose="02040503050406030204" pitchFamily="18" charset="0"/>
                          </a:rPr>
                        </m:ctrlPr>
                      </m:fPr>
                      <m:num>
                        <m:r>
                          <a:rPr kumimoji="1" lang="en-US" altLang="ja-JP" sz="1600" b="0" i="1">
                            <a:latin typeface="Cambria Math" panose="02040503050406030204" pitchFamily="18" charset="0"/>
                          </a:rPr>
                          <m:t>𝑠𝑚</m:t>
                        </m:r>
                      </m:num>
                      <m:den>
                        <m:r>
                          <a:rPr kumimoji="1" lang="en-US" altLang="ja-JP" sz="1600" b="0" i="1">
                            <a:latin typeface="Cambria Math" panose="02040503050406030204" pitchFamily="18" charset="0"/>
                          </a:rPr>
                          <m:t>4</m:t>
                        </m:r>
                        <m:r>
                          <m:rPr>
                            <m:sty m:val="p"/>
                          </m:rPr>
                          <a:rPr kumimoji="1" lang="en-US" altLang="ja-JP" sz="1600" b="0" i="1">
                            <a:latin typeface="Cambria Math" panose="02040503050406030204" pitchFamily="18" charset="0"/>
                          </a:rPr>
                          <m:t>π</m:t>
                        </m:r>
                        <m:r>
                          <a:rPr kumimoji="1" lang="ja-JP" altLang="en-US" sz="1600" b="0" i="1">
                            <a:latin typeface="Cambria Math" panose="02040503050406030204" pitchFamily="18" charset="0"/>
                          </a:rPr>
                          <m:t>𝜌</m:t>
                        </m:r>
                      </m:den>
                    </m:f>
                    <m:f>
                      <m:fPr>
                        <m:ctrlPr>
                          <a:rPr kumimoji="1" lang="en-US" altLang="ja-JP" sz="1600" b="0" i="1">
                            <a:latin typeface="Cambria Math" panose="02040503050406030204" pitchFamily="18" charset="0"/>
                          </a:rPr>
                        </m:ctrlPr>
                      </m:fPr>
                      <m:num>
                        <m:func>
                          <m:funcPr>
                            <m:ctrlPr>
                              <a:rPr kumimoji="1" lang="en-US" altLang="ja-JP" sz="1600" b="0" i="1">
                                <a:latin typeface="Cambria Math" panose="02040503050406030204" pitchFamily="18" charset="0"/>
                              </a:rPr>
                            </m:ctrlPr>
                          </m:funcPr>
                          <m:fName>
                            <m:r>
                              <m:rPr>
                                <m:sty m:val="p"/>
                              </m:rPr>
                              <a:rPr kumimoji="1" lang="en-US" altLang="ja-JP" sz="1600" b="0" i="0">
                                <a:latin typeface="Cambria Math" panose="02040503050406030204" pitchFamily="18" charset="0"/>
                              </a:rPr>
                              <m:t>cos</m:t>
                            </m:r>
                          </m:fName>
                          <m:e>
                            <m:r>
                              <a:rPr kumimoji="1" lang="en-US" altLang="ja-JP" sz="1600" b="0" i="1">
                                <a:latin typeface="Cambria Math" panose="02040503050406030204" pitchFamily="18" charset="0"/>
                                <a:ea typeface="Cambria Math" panose="02040503050406030204" pitchFamily="18" charset="0"/>
                              </a:rPr>
                              <m:t>𝜃</m:t>
                            </m:r>
                          </m:e>
                        </m:func>
                      </m:num>
                      <m:den>
                        <m:sSup>
                          <m:sSupPr>
                            <m:ctrlPr>
                              <a:rPr kumimoji="1" lang="en-US" altLang="ja-JP" sz="1600" b="0" i="1">
                                <a:latin typeface="Cambria Math" panose="02040503050406030204" pitchFamily="18" charset="0"/>
                              </a:rPr>
                            </m:ctrlPr>
                          </m:sSupPr>
                          <m:e>
                            <m:r>
                              <a:rPr kumimoji="1" lang="en-US" altLang="ja-JP" sz="1600" b="0" i="1">
                                <a:latin typeface="Cambria Math" panose="02040503050406030204" pitchFamily="18" charset="0"/>
                              </a:rPr>
                              <m:t>𝑟</m:t>
                            </m:r>
                          </m:e>
                          <m:sup>
                            <m:r>
                              <a:rPr kumimoji="1" lang="en-US" altLang="ja-JP" sz="1600" b="0" i="1">
                                <a:latin typeface="Cambria Math" panose="02040503050406030204" pitchFamily="18" charset="0"/>
                              </a:rPr>
                              <m:t>2</m:t>
                            </m:r>
                          </m:sup>
                        </m:sSup>
                      </m:den>
                    </m:f>
                  </m:oMath>
                </m:oMathPara>
              </a14:m>
              <a:endParaRPr kumimoji="1" lang="ja-JP" altLang="en-US" sz="1600"/>
            </a:p>
          </xdr:txBody>
        </xdr:sp>
      </mc:Choice>
      <mc:Fallback xmlns="">
        <xdr:sp macro="" textlink="">
          <xdr:nvSpPr>
            <xdr:cNvPr id="2" name="テキスト ボックス 1">
              <a:extLst>
                <a:ext uri="{FF2B5EF4-FFF2-40B4-BE49-F238E27FC236}">
                  <a16:creationId xmlns:a16="http://schemas.microsoft.com/office/drawing/2014/main" id="{75946DBA-536E-8954-E507-AB8865B12911}"/>
                </a:ext>
              </a:extLst>
            </xdr:cNvPr>
            <xdr:cNvSpPr txBox="1"/>
          </xdr:nvSpPr>
          <xdr:spPr>
            <a:xfrm>
              <a:off x="12115800" y="5675084"/>
              <a:ext cx="1439333" cy="674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kumimoji="1" lang="en-US" altLang="ja-JP" sz="1600" b="0" i="0">
                  <a:latin typeface="Cambria Math" panose="02040503050406030204" pitchFamily="18" charset="0"/>
                </a:rPr>
                <a:t>𝑡=𝑠𝑚/4π</a:t>
              </a:r>
              <a:r>
                <a:rPr kumimoji="1" lang="ja-JP" altLang="en-US" sz="1600" b="0" i="0">
                  <a:latin typeface="Cambria Math" panose="02040503050406030204" pitchFamily="18" charset="0"/>
                </a:rPr>
                <a:t>𝜌</a:t>
              </a:r>
              <a:r>
                <a:rPr kumimoji="1" lang="en-US" altLang="ja-JP" sz="1600" b="0" i="0">
                  <a:latin typeface="Cambria Math" panose="02040503050406030204" pitchFamily="18" charset="0"/>
                </a:rPr>
                <a:t>   cos⁡</a:t>
              </a:r>
              <a:r>
                <a:rPr kumimoji="1" lang="en-US" altLang="ja-JP" sz="1600" b="0" i="0">
                  <a:latin typeface="Cambria Math" panose="02040503050406030204" pitchFamily="18" charset="0"/>
                  <a:ea typeface="Cambria Math" panose="02040503050406030204" pitchFamily="18" charset="0"/>
                </a:rPr>
                <a:t>𝜃/</a:t>
              </a:r>
              <a:r>
                <a:rPr kumimoji="1" lang="en-US" altLang="ja-JP" sz="1600" b="0" i="0">
                  <a:latin typeface="Cambria Math" panose="02040503050406030204" pitchFamily="18" charset="0"/>
                </a:rPr>
                <a:t>𝑟^2 </a:t>
              </a:r>
              <a:endParaRPr kumimoji="1" lang="ja-JP" altLang="en-US" sz="1600"/>
            </a:p>
          </xdr:txBody>
        </xdr:sp>
      </mc:Fallback>
    </mc:AlternateContent>
    <xdr:clientData/>
  </xdr:twoCellAnchor>
  <xdr:twoCellAnchor>
    <xdr:from>
      <xdr:col>14</xdr:col>
      <xdr:colOff>600225</xdr:colOff>
      <xdr:row>24</xdr:row>
      <xdr:rowOff>96158</xdr:rowOff>
    </xdr:from>
    <xdr:to>
      <xdr:col>19</xdr:col>
      <xdr:colOff>409725</xdr:colOff>
      <xdr:row>28</xdr:row>
      <xdr:rowOff>93519</xdr:rowOff>
    </xdr:to>
    <mc:AlternateContent xmlns:mc="http://schemas.openxmlformats.org/markup-compatibility/2006" xmlns:a14="http://schemas.microsoft.com/office/drawing/2010/main">
      <mc:Choice Requires="a14">
        <xdr:sp macro="" textlink="">
          <xdr:nvSpPr>
            <xdr:cNvPr id="4" name="テキスト ボックス 3">
              <a:extLst>
                <a:ext uri="{FF2B5EF4-FFF2-40B4-BE49-F238E27FC236}">
                  <a16:creationId xmlns:a16="http://schemas.microsoft.com/office/drawing/2014/main" id="{97A21231-66F7-B505-43BB-BD53A4BA2FC1}"/>
                </a:ext>
              </a:extLst>
            </xdr:cNvPr>
            <xdr:cNvSpPr txBox="1"/>
          </xdr:nvSpPr>
          <xdr:spPr>
            <a:xfrm>
              <a:off x="13904987" y="5584372"/>
              <a:ext cx="3249084" cy="9045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教科書における左の関係式より、上の傾きは</a:t>
              </a:r>
              <a:endParaRPr kumimoji="1" lang="en-US" altLang="ja-JP" sz="1100"/>
            </a:p>
            <a:p>
              <a:pPr/>
              <a14:m>
                <m:oMathPara xmlns:m="http://schemas.openxmlformats.org/officeDocument/2006/math">
                  <m:oMathParaPr>
                    <m:jc m:val="centerGroup"/>
                  </m:oMathParaPr>
                  <m:oMath xmlns:m="http://schemas.openxmlformats.org/officeDocument/2006/math">
                    <m:f>
                      <m:fPr>
                        <m:ctrlPr>
                          <a:rPr kumimoji="1" lang="en-US" altLang="ja-JP" sz="1100" b="0" i="1">
                            <a:latin typeface="Cambria Math" panose="02040503050406030204" pitchFamily="18" charset="0"/>
                          </a:rPr>
                        </m:ctrlPr>
                      </m:fPr>
                      <m:num>
                        <m:r>
                          <a:rPr kumimoji="1" lang="en-US" altLang="ja-JP" sz="1100" b="0" i="1">
                            <a:latin typeface="Cambria Math" panose="02040503050406030204" pitchFamily="18" charset="0"/>
                          </a:rPr>
                          <m:t>𝑠𝑚</m:t>
                        </m:r>
                      </m:num>
                      <m:den>
                        <m:r>
                          <a:rPr kumimoji="1" lang="en-US" altLang="ja-JP" sz="1100" b="0" i="1">
                            <a:latin typeface="Cambria Math" panose="02040503050406030204" pitchFamily="18" charset="0"/>
                          </a:rPr>
                          <m:t>4</m:t>
                        </m:r>
                        <m:r>
                          <m:rPr>
                            <m:sty m:val="p"/>
                          </m:rPr>
                          <a:rPr kumimoji="1" lang="en-US" altLang="ja-JP" sz="1100" b="0" i="1">
                            <a:latin typeface="Cambria Math" panose="02040503050406030204" pitchFamily="18" charset="0"/>
                          </a:rPr>
                          <m:t>π</m:t>
                        </m:r>
                        <m:r>
                          <a:rPr kumimoji="1" lang="ja-JP" altLang="en-US" sz="1100" b="0" i="1">
                            <a:latin typeface="Cambria Math" panose="02040503050406030204" pitchFamily="18" charset="0"/>
                          </a:rPr>
                          <m:t>𝜌</m:t>
                        </m:r>
                      </m:den>
                    </m:f>
                  </m:oMath>
                </m:oMathPara>
              </a14:m>
              <a:endParaRPr kumimoji="1" lang="en-US" altLang="ja-JP" sz="1100" b="0"/>
            </a:p>
            <a:p>
              <a:r>
                <a:rPr kumimoji="1" lang="ja-JP" altLang="en-US" sz="1100"/>
                <a:t>となる。</a:t>
              </a:r>
              <a:endParaRPr kumimoji="1" lang="en-US" altLang="ja-JP" sz="1100"/>
            </a:p>
            <a:p>
              <a:endParaRPr kumimoji="1" lang="ja-JP" altLang="en-US" sz="1100"/>
            </a:p>
          </xdr:txBody>
        </xdr:sp>
      </mc:Choice>
      <mc:Fallback xmlns="">
        <xdr:sp macro="" textlink="">
          <xdr:nvSpPr>
            <xdr:cNvPr id="4" name="テキスト ボックス 3">
              <a:extLst>
                <a:ext uri="{FF2B5EF4-FFF2-40B4-BE49-F238E27FC236}">
                  <a16:creationId xmlns:a16="http://schemas.microsoft.com/office/drawing/2014/main" id="{97A21231-66F7-B505-43BB-BD53A4BA2FC1}"/>
                </a:ext>
              </a:extLst>
            </xdr:cNvPr>
            <xdr:cNvSpPr txBox="1"/>
          </xdr:nvSpPr>
          <xdr:spPr>
            <a:xfrm>
              <a:off x="13904987" y="5584372"/>
              <a:ext cx="3249084" cy="9045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教科書における左の関係式より、上の傾きは</a:t>
              </a:r>
              <a:endParaRPr kumimoji="1" lang="en-US" altLang="ja-JP" sz="1100"/>
            </a:p>
            <a:p>
              <a:pPr/>
              <a:r>
                <a:rPr kumimoji="1" lang="en-US" altLang="ja-JP" sz="1100" b="0" i="0">
                  <a:latin typeface="Cambria Math" panose="02040503050406030204" pitchFamily="18" charset="0"/>
                </a:rPr>
                <a:t>𝑠𝑚/4π</a:t>
              </a:r>
              <a:r>
                <a:rPr kumimoji="1" lang="ja-JP" altLang="en-US" sz="1100" b="0" i="0">
                  <a:latin typeface="Cambria Math" panose="02040503050406030204" pitchFamily="18" charset="0"/>
                </a:rPr>
                <a:t>𝜌</a:t>
              </a:r>
              <a:endParaRPr kumimoji="1" lang="en-US" altLang="ja-JP" sz="1100" b="0"/>
            </a:p>
            <a:p>
              <a:r>
                <a:rPr kumimoji="1" lang="ja-JP" altLang="en-US" sz="1100"/>
                <a:t>となる。</a:t>
              </a:r>
              <a:endParaRPr kumimoji="1" lang="en-US" altLang="ja-JP" sz="1100"/>
            </a:p>
            <a:p>
              <a:endParaRPr kumimoji="1" lang="ja-JP" altLang="en-US" sz="1100"/>
            </a:p>
          </xdr:txBody>
        </xdr:sp>
      </mc:Fallback>
    </mc:AlternateContent>
    <xdr:clientData/>
  </xdr:twoCellAnchor>
  <xdr:twoCellAnchor>
    <xdr:from>
      <xdr:col>5</xdr:col>
      <xdr:colOff>614542</xdr:colOff>
      <xdr:row>30</xdr:row>
      <xdr:rowOff>186337</xdr:rowOff>
    </xdr:from>
    <xdr:to>
      <xdr:col>7</xdr:col>
      <xdr:colOff>966653</xdr:colOff>
      <xdr:row>32</xdr:row>
      <xdr:rowOff>96271</xdr:rowOff>
    </xdr:to>
    <mc:AlternateContent xmlns:mc="http://schemas.openxmlformats.org/markup-compatibility/2006" xmlns:a14="http://schemas.microsoft.com/office/drawing/2010/main">
      <mc:Choice Requires="a14">
        <xdr:sp macro="" textlink="">
          <xdr:nvSpPr>
            <xdr:cNvPr id="5" name="テキスト ボックス 4">
              <a:extLst>
                <a:ext uri="{FF2B5EF4-FFF2-40B4-BE49-F238E27FC236}">
                  <a16:creationId xmlns:a16="http://schemas.microsoft.com/office/drawing/2014/main" id="{1C3AF1D4-61DF-A502-BD57-AD9B1E2C2A4F}"/>
                </a:ext>
              </a:extLst>
            </xdr:cNvPr>
            <xdr:cNvSpPr txBox="1"/>
          </xdr:nvSpPr>
          <xdr:spPr>
            <a:xfrm>
              <a:off x="5969302" y="7012587"/>
              <a:ext cx="2672304" cy="361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←ここで求められる</a:t>
              </a:r>
              <a14:m>
                <m:oMath xmlns:m="http://schemas.openxmlformats.org/officeDocument/2006/math">
                  <m:r>
                    <a:rPr kumimoji="1" lang="en-US" altLang="ja-JP" sz="1100" b="0" i="0">
                      <a:latin typeface="Cambria Math" panose="02040503050406030204" pitchFamily="18" charset="0"/>
                    </a:rPr>
                    <m:t> </m:t>
                  </m:r>
                  <m:r>
                    <a:rPr kumimoji="1" lang="en-US" altLang="ja-JP" sz="1100" b="0" i="1">
                      <a:latin typeface="Cambria Math" panose="02040503050406030204" pitchFamily="18" charset="0"/>
                    </a:rPr>
                    <m:t>𝑡</m:t>
                  </m:r>
                  <m:r>
                    <a:rPr kumimoji="1" lang="en-US" altLang="ja-JP" sz="1100" b="0" i="1">
                      <a:latin typeface="Cambria Math" panose="02040503050406030204" pitchFamily="18" charset="0"/>
                    </a:rPr>
                    <m:t> </m:t>
                  </m:r>
                </m:oMath>
              </a14:m>
              <a:r>
                <a:rPr kumimoji="1" lang="ja-JP" altLang="en-US" sz="1100"/>
                <a:t>は実測値を示す。</a:t>
              </a:r>
            </a:p>
          </xdr:txBody>
        </xdr:sp>
      </mc:Choice>
      <mc:Fallback xmlns="">
        <xdr:sp macro="" textlink="">
          <xdr:nvSpPr>
            <xdr:cNvPr id="5" name="テキスト ボックス 4">
              <a:extLst>
                <a:ext uri="{FF2B5EF4-FFF2-40B4-BE49-F238E27FC236}">
                  <a16:creationId xmlns:a16="http://schemas.microsoft.com/office/drawing/2014/main" id="{1C3AF1D4-61DF-A502-BD57-AD9B1E2C2A4F}"/>
                </a:ext>
              </a:extLst>
            </xdr:cNvPr>
            <xdr:cNvSpPr txBox="1"/>
          </xdr:nvSpPr>
          <xdr:spPr>
            <a:xfrm>
              <a:off x="5969302" y="7012587"/>
              <a:ext cx="2672304" cy="361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←ここで求められる</a:t>
              </a:r>
              <a:r>
                <a:rPr kumimoji="1" lang="en-US" altLang="ja-JP" sz="1100" b="0" i="0">
                  <a:latin typeface="Cambria Math" panose="02040503050406030204" pitchFamily="18" charset="0"/>
                </a:rPr>
                <a:t> 𝑡 </a:t>
              </a:r>
              <a:r>
                <a:rPr kumimoji="1" lang="ja-JP" altLang="en-US" sz="1100"/>
                <a:t>は実測値を示す。</a:t>
              </a:r>
            </a:p>
          </xdr:txBody>
        </xdr:sp>
      </mc:Fallback>
    </mc:AlternateContent>
    <xdr:clientData/>
  </xdr:twoCellAnchor>
  <xdr:twoCellAnchor>
    <xdr:from>
      <xdr:col>21</xdr:col>
      <xdr:colOff>303069</xdr:colOff>
      <xdr:row>10</xdr:row>
      <xdr:rowOff>173182</xdr:rowOff>
    </xdr:from>
    <xdr:to>
      <xdr:col>26</xdr:col>
      <xdr:colOff>204107</xdr:colOff>
      <xdr:row>15</xdr:row>
      <xdr:rowOff>61850</xdr:rowOff>
    </xdr:to>
    <mc:AlternateContent xmlns:mc="http://schemas.openxmlformats.org/markup-compatibility/2006" xmlns:a14="http://schemas.microsoft.com/office/drawing/2010/main">
      <mc:Choice Requires="a14">
        <xdr:sp macro="" textlink="">
          <xdr:nvSpPr>
            <xdr:cNvPr id="10" name="テキスト ボックス 9">
              <a:extLst>
                <a:ext uri="{FF2B5EF4-FFF2-40B4-BE49-F238E27FC236}">
                  <a16:creationId xmlns:a16="http://schemas.microsoft.com/office/drawing/2014/main" id="{6EA149B7-B931-E741-02EB-8F9CE2DFC78C}"/>
                </a:ext>
              </a:extLst>
            </xdr:cNvPr>
            <xdr:cNvSpPr txBox="1"/>
          </xdr:nvSpPr>
          <xdr:spPr>
            <a:xfrm>
              <a:off x="18388199" y="2449286"/>
              <a:ext cx="3333750" cy="10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i="0">
                  <a:latin typeface="Cambria Math" panose="02040503050406030204" pitchFamily="18" charset="0"/>
                </a:rPr>
                <a:t>←</a:t>
              </a:r>
              <a:endParaRPr kumimoji="1" lang="en-US" altLang="ja-JP" sz="1100" b="0" i="0">
                <a:latin typeface="Cambria Math" panose="02040503050406030204" pitchFamily="18" charset="0"/>
              </a:endParaRPr>
            </a:p>
            <a:p>
              <a14:m>
                <m:oMath xmlns:m="http://schemas.openxmlformats.org/officeDocument/2006/math">
                  <m:r>
                    <a:rPr kumimoji="1" lang="en-US" altLang="ja-JP" sz="1100" b="0" i="1">
                      <a:latin typeface="Cambria Math" panose="02040503050406030204" pitchFamily="18" charset="0"/>
                    </a:rPr>
                    <m:t>𝑠</m:t>
                  </m:r>
                </m:oMath>
              </a14:m>
              <a:r>
                <a:rPr kumimoji="1" lang="ja-JP" altLang="en-US" sz="1100"/>
                <a:t>を導出するときは</a:t>
              </a:r>
              <a14:m>
                <m:oMath xmlns:m="http://schemas.openxmlformats.org/officeDocument/2006/math">
                  <m:sSup>
                    <m:sSupPr>
                      <m:ctrlPr>
                        <a:rPr kumimoji="1" lang="en-US" altLang="ja-JP" sz="1100" b="0" i="1">
                          <a:latin typeface="Cambria Math" panose="02040503050406030204" pitchFamily="18" charset="0"/>
                        </a:rPr>
                      </m:ctrlPr>
                    </m:sSupPr>
                    <m:e>
                      <m:r>
                        <a:rPr kumimoji="1" lang="en-US" altLang="ja-JP" sz="1100" b="0" i="1">
                          <a:latin typeface="Cambria Math" panose="02040503050406030204" pitchFamily="18" charset="0"/>
                        </a:rPr>
                        <m:t>10</m:t>
                      </m:r>
                    </m:e>
                    <m:sup>
                      <m:r>
                        <a:rPr kumimoji="1" lang="en-US" altLang="ja-JP" sz="1100" b="0" i="1">
                          <a:latin typeface="Cambria Math" panose="02040503050406030204" pitchFamily="18" charset="0"/>
                        </a:rPr>
                        <m:t>−9</m:t>
                      </m:r>
                    </m:sup>
                  </m:sSup>
                </m:oMath>
              </a14:m>
              <a:r>
                <a:rPr kumimoji="1" lang="ja-JP" altLang="en-US" sz="1100"/>
                <a:t>を掛けるが、下の計算式には</a:t>
              </a:r>
              <a14:m>
                <m:oMath xmlns:m="http://schemas.openxmlformats.org/officeDocument/2006/math">
                  <m:sSup>
                    <m:sSupPr>
                      <m:ctrlPr>
                        <a:rPr kumimoji="1" lang="en-US" altLang="ja-JP" sz="1100" b="0" i="1">
                          <a:latin typeface="Cambria Math" panose="02040503050406030204" pitchFamily="18" charset="0"/>
                        </a:rPr>
                      </m:ctrlPr>
                    </m:sSupPr>
                    <m:e>
                      <m:r>
                        <a:rPr kumimoji="1" lang="en-US" altLang="ja-JP" sz="1100" b="0" i="1">
                          <a:latin typeface="Cambria Math" panose="02040503050406030204" pitchFamily="18" charset="0"/>
                        </a:rPr>
                        <m:t>10</m:t>
                      </m:r>
                    </m:e>
                    <m:sup>
                      <m:r>
                        <a:rPr kumimoji="1" lang="en-US" altLang="ja-JP" sz="1100" b="0" i="1">
                          <a:latin typeface="Cambria Math" panose="02040503050406030204" pitchFamily="18" charset="0"/>
                        </a:rPr>
                        <m:t>−9</m:t>
                      </m:r>
                    </m:sup>
                  </m:sSup>
                  <m:r>
                    <a:rPr kumimoji="1" lang="ja-JP" altLang="en-US" sz="1100" b="0" i="1">
                      <a:latin typeface="Cambria Math" panose="02040503050406030204" pitchFamily="18" charset="0"/>
                    </a:rPr>
                    <m:t>を既に</m:t>
                  </m:r>
                </m:oMath>
              </a14:m>
              <a:r>
                <a:rPr kumimoji="1" lang="ja-JP" altLang="en-US" sz="1100"/>
                <a:t>式に入れてあるので、グラフの近似式に出てきた数字を入れて</a:t>
              </a:r>
            </a:p>
          </xdr:txBody>
        </xdr:sp>
      </mc:Choice>
      <mc:Fallback xmlns="">
        <xdr:sp macro="" textlink="">
          <xdr:nvSpPr>
            <xdr:cNvPr id="10" name="テキスト ボックス 9">
              <a:extLst>
                <a:ext uri="{FF2B5EF4-FFF2-40B4-BE49-F238E27FC236}">
                  <a16:creationId xmlns:a16="http://schemas.microsoft.com/office/drawing/2014/main" id="{6EA149B7-B931-E741-02EB-8F9CE2DFC78C}"/>
                </a:ext>
              </a:extLst>
            </xdr:cNvPr>
            <xdr:cNvSpPr txBox="1"/>
          </xdr:nvSpPr>
          <xdr:spPr>
            <a:xfrm>
              <a:off x="18388199" y="2449286"/>
              <a:ext cx="3333750" cy="10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i="0">
                  <a:latin typeface="Cambria Math" panose="02040503050406030204" pitchFamily="18" charset="0"/>
                </a:rPr>
                <a:t>←</a:t>
              </a:r>
              <a:endParaRPr kumimoji="1" lang="en-US" altLang="ja-JP" sz="1100" b="0" i="0">
                <a:latin typeface="Cambria Math" panose="02040503050406030204" pitchFamily="18" charset="0"/>
              </a:endParaRPr>
            </a:p>
            <a:p>
              <a:r>
                <a:rPr kumimoji="1" lang="en-US" altLang="ja-JP" sz="1100" b="0" i="0">
                  <a:latin typeface="Cambria Math" panose="02040503050406030204" pitchFamily="18" charset="0"/>
                </a:rPr>
                <a:t>𝑠</a:t>
              </a:r>
              <a:r>
                <a:rPr kumimoji="1" lang="ja-JP" altLang="en-US" sz="1100"/>
                <a:t>を導出するときは</a:t>
              </a:r>
              <a:r>
                <a:rPr kumimoji="1" lang="en-US" altLang="ja-JP" sz="1100" b="0" i="0">
                  <a:latin typeface="Cambria Math" panose="02040503050406030204" pitchFamily="18" charset="0"/>
                </a:rPr>
                <a:t>10^(−9)</a:t>
              </a:r>
              <a:r>
                <a:rPr kumimoji="1" lang="ja-JP" altLang="en-US" sz="1100"/>
                <a:t>を掛けるが、下の計算式には</a:t>
              </a:r>
              <a:r>
                <a:rPr kumimoji="1" lang="en-US" altLang="ja-JP" sz="1100" b="0" i="0">
                  <a:latin typeface="Cambria Math" panose="02040503050406030204" pitchFamily="18" charset="0"/>
                </a:rPr>
                <a:t>10^(−9)</a:t>
              </a:r>
              <a:r>
                <a:rPr kumimoji="1" lang="ja-JP" altLang="en-US" sz="1100" b="0" i="0">
                  <a:latin typeface="Cambria Math" panose="02040503050406030204" pitchFamily="18" charset="0"/>
                </a:rPr>
                <a:t> を既に</a:t>
              </a:r>
              <a:r>
                <a:rPr kumimoji="1" lang="ja-JP" altLang="en-US" sz="1100"/>
                <a:t>式に入れてあるので、グラフの近似式に出てきた数字を入れて</a:t>
              </a:r>
            </a:p>
          </xdr:txBody>
        </xdr:sp>
      </mc:Fallback>
    </mc:AlternateContent>
    <xdr:clientData/>
  </xdr:twoCellAnchor>
  <xdr:twoCellAnchor>
    <xdr:from>
      <xdr:col>25</xdr:col>
      <xdr:colOff>6106</xdr:colOff>
      <xdr:row>29</xdr:row>
      <xdr:rowOff>134326</xdr:rowOff>
    </xdr:from>
    <xdr:to>
      <xdr:col>28</xdr:col>
      <xdr:colOff>626871</xdr:colOff>
      <xdr:row>31</xdr:row>
      <xdr:rowOff>44260</xdr:rowOff>
    </xdr:to>
    <mc:AlternateContent xmlns:mc="http://schemas.openxmlformats.org/markup-compatibility/2006" xmlns:a14="http://schemas.microsoft.com/office/drawing/2010/main">
      <mc:Choice Requires="a14">
        <xdr:sp macro="" textlink="">
          <xdr:nvSpPr>
            <xdr:cNvPr id="14" name="テキスト ボックス 13">
              <a:extLst>
                <a:ext uri="{FF2B5EF4-FFF2-40B4-BE49-F238E27FC236}">
                  <a16:creationId xmlns:a16="http://schemas.microsoft.com/office/drawing/2014/main" id="{9A1E85DD-C390-4CF6-8EF2-265ED6AF17DA}"/>
                </a:ext>
              </a:extLst>
            </xdr:cNvPr>
            <xdr:cNvSpPr txBox="1"/>
          </xdr:nvSpPr>
          <xdr:spPr>
            <a:xfrm>
              <a:off x="22005193" y="6734663"/>
              <a:ext cx="2672304" cy="361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←ここで求められる</a:t>
              </a:r>
              <a14:m>
                <m:oMath xmlns:m="http://schemas.openxmlformats.org/officeDocument/2006/math">
                  <m:r>
                    <a:rPr kumimoji="1" lang="en-US" altLang="ja-JP" sz="1100" b="0" i="0">
                      <a:latin typeface="Cambria Math" panose="02040503050406030204" pitchFamily="18" charset="0"/>
                    </a:rPr>
                    <m:t> </m:t>
                  </m:r>
                  <m:r>
                    <a:rPr kumimoji="1" lang="en-US" altLang="ja-JP" sz="1100" b="0" i="1">
                      <a:latin typeface="Cambria Math" panose="02040503050406030204" pitchFamily="18" charset="0"/>
                    </a:rPr>
                    <m:t>𝑡</m:t>
                  </m:r>
                  <m:r>
                    <a:rPr kumimoji="1" lang="en-US" altLang="ja-JP" sz="1100" b="0" i="1">
                      <a:latin typeface="Cambria Math" panose="02040503050406030204" pitchFamily="18" charset="0"/>
                    </a:rPr>
                    <m:t> </m:t>
                  </m:r>
                </m:oMath>
              </a14:m>
              <a:r>
                <a:rPr kumimoji="1" lang="ja-JP" altLang="en-US" sz="1100"/>
                <a:t>は計算値を示す。</a:t>
              </a:r>
            </a:p>
          </xdr:txBody>
        </xdr:sp>
      </mc:Choice>
      <mc:Fallback xmlns="">
        <xdr:sp macro="" textlink="">
          <xdr:nvSpPr>
            <xdr:cNvPr id="14" name="テキスト ボックス 13">
              <a:extLst>
                <a:ext uri="{FF2B5EF4-FFF2-40B4-BE49-F238E27FC236}">
                  <a16:creationId xmlns:a16="http://schemas.microsoft.com/office/drawing/2014/main" id="{9A1E85DD-C390-4CF6-8EF2-265ED6AF17DA}"/>
                </a:ext>
              </a:extLst>
            </xdr:cNvPr>
            <xdr:cNvSpPr txBox="1"/>
          </xdr:nvSpPr>
          <xdr:spPr>
            <a:xfrm>
              <a:off x="22005193" y="6734663"/>
              <a:ext cx="2672304" cy="361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←ここで求められる</a:t>
              </a:r>
              <a:r>
                <a:rPr kumimoji="1" lang="en-US" altLang="ja-JP" sz="1100" b="0" i="0">
                  <a:latin typeface="Cambria Math" panose="02040503050406030204" pitchFamily="18" charset="0"/>
                </a:rPr>
                <a:t> 𝑡 </a:t>
              </a:r>
              <a:r>
                <a:rPr kumimoji="1" lang="ja-JP" altLang="en-US" sz="1100"/>
                <a:t>は計算値を示す。</a:t>
              </a:r>
            </a:p>
          </xdr:txBody>
        </xdr:sp>
      </mc:Fallback>
    </mc:AlternateContent>
    <xdr:clientData/>
  </xdr:twoCellAnchor>
  <xdr:twoCellAnchor>
    <xdr:from>
      <xdr:col>9</xdr:col>
      <xdr:colOff>203343</xdr:colOff>
      <xdr:row>39</xdr:row>
      <xdr:rowOff>144480</xdr:rowOff>
    </xdr:from>
    <xdr:to>
      <xdr:col>19</xdr:col>
      <xdr:colOff>385281</xdr:colOff>
      <xdr:row>52</xdr:row>
      <xdr:rowOff>197991</xdr:rowOff>
    </xdr:to>
    <xdr:sp macro="" textlink="">
      <xdr:nvSpPr>
        <xdr:cNvPr id="9" name="正方形/長方形 8">
          <a:extLst>
            <a:ext uri="{FF2B5EF4-FFF2-40B4-BE49-F238E27FC236}">
              <a16:creationId xmlns:a16="http://schemas.microsoft.com/office/drawing/2014/main" id="{D64216AB-5771-3DD4-EB95-2BAC47C7EABF}"/>
            </a:ext>
          </a:extLst>
        </xdr:cNvPr>
        <xdr:cNvSpPr/>
      </xdr:nvSpPr>
      <xdr:spPr>
        <a:xfrm>
          <a:off x="10049410" y="9054101"/>
          <a:ext cx="7031377" cy="317321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481601</xdr:colOff>
      <xdr:row>38</xdr:row>
      <xdr:rowOff>165884</xdr:rowOff>
    </xdr:from>
    <xdr:to>
      <xdr:col>18</xdr:col>
      <xdr:colOff>155182</xdr:colOff>
      <xdr:row>40</xdr:row>
      <xdr:rowOff>101670</xdr:rowOff>
    </xdr:to>
    <xdr:sp macro="" textlink="">
      <xdr:nvSpPr>
        <xdr:cNvPr id="11" name="テキスト ボックス 10">
          <a:extLst>
            <a:ext uri="{FF2B5EF4-FFF2-40B4-BE49-F238E27FC236}">
              <a16:creationId xmlns:a16="http://schemas.microsoft.com/office/drawing/2014/main" id="{9563EBC4-F752-9EEC-A391-9FF9ACF99382}"/>
            </a:ext>
          </a:extLst>
        </xdr:cNvPr>
        <xdr:cNvSpPr txBox="1"/>
      </xdr:nvSpPr>
      <xdr:spPr>
        <a:xfrm>
          <a:off x="11012612" y="8850758"/>
          <a:ext cx="5153132" cy="3852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左の測定器を使った場合の装置のフォルダ長さ</a:t>
          </a:r>
          <a:r>
            <a:rPr kumimoji="1" lang="en-US" altLang="ja-JP" sz="1400"/>
            <a:t>(LETUS</a:t>
          </a:r>
          <a:r>
            <a:rPr kumimoji="1" lang="ja-JP" altLang="en-US" sz="1400"/>
            <a:t>表</a:t>
          </a:r>
          <a:r>
            <a:rPr kumimoji="1" lang="en-US" altLang="ja-JP" sz="1400"/>
            <a:t>)</a:t>
          </a:r>
          <a:endParaRPr kumimoji="1" lang="ja-JP" altLang="en-US" sz="1400"/>
        </a:p>
      </xdr:txBody>
    </xdr:sp>
    <xdr:clientData/>
  </xdr:twoCellAnchor>
  <xdr:twoCellAnchor>
    <xdr:from>
      <xdr:col>18</xdr:col>
      <xdr:colOff>210800</xdr:colOff>
      <xdr:row>51</xdr:row>
      <xdr:rowOff>54651</xdr:rowOff>
    </xdr:from>
    <xdr:to>
      <xdr:col>19</xdr:col>
      <xdr:colOff>374754</xdr:colOff>
      <xdr:row>57</xdr:row>
      <xdr:rowOff>46844</xdr:rowOff>
    </xdr:to>
    <xdr:cxnSp macro="">
      <xdr:nvCxnSpPr>
        <xdr:cNvPr id="15" name="直線矢印コネクタ 14">
          <a:extLst>
            <a:ext uri="{FF2B5EF4-FFF2-40B4-BE49-F238E27FC236}">
              <a16:creationId xmlns:a16="http://schemas.microsoft.com/office/drawing/2014/main" id="{6B249133-A451-AD93-B908-EA7F67144327}"/>
            </a:ext>
          </a:extLst>
        </xdr:cNvPr>
        <xdr:cNvCxnSpPr/>
      </xdr:nvCxnSpPr>
      <xdr:spPr>
        <a:xfrm flipH="1" flipV="1">
          <a:off x="16247152" y="11843790"/>
          <a:ext cx="851004" cy="135067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202992</xdr:colOff>
      <xdr:row>57</xdr:row>
      <xdr:rowOff>23422</xdr:rowOff>
    </xdr:from>
    <xdr:to>
      <xdr:col>22</xdr:col>
      <xdr:colOff>429405</xdr:colOff>
      <xdr:row>59</xdr:row>
      <xdr:rowOff>210799</xdr:rowOff>
    </xdr:to>
    <xdr:sp macro="" textlink="">
      <xdr:nvSpPr>
        <xdr:cNvPr id="16" name="テキスト ボックス 15">
          <a:extLst>
            <a:ext uri="{FF2B5EF4-FFF2-40B4-BE49-F238E27FC236}">
              <a16:creationId xmlns:a16="http://schemas.microsoft.com/office/drawing/2014/main" id="{A68FCF5C-919F-0409-DC31-AAB69E1841B8}"/>
            </a:ext>
          </a:extLst>
        </xdr:cNvPr>
        <xdr:cNvSpPr txBox="1"/>
      </xdr:nvSpPr>
      <xdr:spPr>
        <a:xfrm>
          <a:off x="16239344" y="13171045"/>
          <a:ext cx="3669468" cy="6402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t>測定しないとは思っていなかったから変な位置にあるけど、気にしないで</a:t>
          </a:r>
        </a:p>
      </xdr:txBody>
    </xdr:sp>
    <xdr:clientData/>
  </xdr:twoCellAnchor>
  <xdr:twoCellAnchor>
    <xdr:from>
      <xdr:col>6</xdr:col>
      <xdr:colOff>1222539</xdr:colOff>
      <xdr:row>0</xdr:row>
      <xdr:rowOff>68737</xdr:rowOff>
    </xdr:from>
    <xdr:to>
      <xdr:col>11</xdr:col>
      <xdr:colOff>191481</xdr:colOff>
      <xdr:row>2</xdr:row>
      <xdr:rowOff>181662</xdr:rowOff>
    </xdr:to>
    <xdr:sp macro="" textlink="">
      <xdr:nvSpPr>
        <xdr:cNvPr id="17" name="テキスト ボックス 16">
          <a:extLst>
            <a:ext uri="{FF2B5EF4-FFF2-40B4-BE49-F238E27FC236}">
              <a16:creationId xmlns:a16="http://schemas.microsoft.com/office/drawing/2014/main" id="{FD3749BD-0EF7-D0B0-3CAF-B5E662EE3F6A}"/>
            </a:ext>
          </a:extLst>
        </xdr:cNvPr>
        <xdr:cNvSpPr txBox="1"/>
      </xdr:nvSpPr>
      <xdr:spPr>
        <a:xfrm>
          <a:off x="8007874" y="68737"/>
          <a:ext cx="4325528" cy="5646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試料からフォルダの下端までの長さを</a:t>
          </a:r>
          <a:r>
            <a:rPr kumimoji="1" lang="en-US" altLang="ja-JP" sz="1100" i="1"/>
            <a:t>h</a:t>
          </a:r>
          <a:r>
            <a:rPr kumimoji="1" lang="en-US" altLang="ja-JP" sz="1100" i="0" baseline="-25000"/>
            <a:t>0</a:t>
          </a:r>
          <a:r>
            <a:rPr kumimoji="1" lang="ja-JP" altLang="en-US" sz="1100"/>
            <a:t>として計算を組んだので、もし違ったら変えるか、聞いて下さい。</a:t>
          </a:r>
        </a:p>
      </xdr:txBody>
    </xdr:sp>
    <xdr:clientData/>
  </xdr:twoCellAnchor>
  <xdr:twoCellAnchor>
    <xdr:from>
      <xdr:col>1</xdr:col>
      <xdr:colOff>53578</xdr:colOff>
      <xdr:row>0</xdr:row>
      <xdr:rowOff>89296</xdr:rowOff>
    </xdr:from>
    <xdr:to>
      <xdr:col>2</xdr:col>
      <xdr:colOff>738188</xdr:colOff>
      <xdr:row>1</xdr:row>
      <xdr:rowOff>202405</xdr:rowOff>
    </xdr:to>
    <xdr:sp macro="" textlink="">
      <xdr:nvSpPr>
        <xdr:cNvPr id="6" name="テキスト ボックス 5">
          <a:extLst>
            <a:ext uri="{FF2B5EF4-FFF2-40B4-BE49-F238E27FC236}">
              <a16:creationId xmlns:a16="http://schemas.microsoft.com/office/drawing/2014/main" id="{FE18BDF4-5726-ABCC-E8DB-316F051F397D}"/>
            </a:ext>
          </a:extLst>
        </xdr:cNvPr>
        <xdr:cNvSpPr txBox="1"/>
      </xdr:nvSpPr>
      <xdr:spPr>
        <a:xfrm>
          <a:off x="738188" y="89296"/>
          <a:ext cx="1369219" cy="3393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左の測定器用</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50064</xdr:colOff>
      <xdr:row>3</xdr:row>
      <xdr:rowOff>14725</xdr:rowOff>
    </xdr:from>
    <xdr:to>
      <xdr:col>11</xdr:col>
      <xdr:colOff>600292</xdr:colOff>
      <xdr:row>6</xdr:row>
      <xdr:rowOff>166001</xdr:rowOff>
    </xdr:to>
    <xdr:sp macro="" textlink="">
      <xdr:nvSpPr>
        <xdr:cNvPr id="2" name="テキスト ボックス 1">
          <a:extLst>
            <a:ext uri="{FF2B5EF4-FFF2-40B4-BE49-F238E27FC236}">
              <a16:creationId xmlns:a16="http://schemas.microsoft.com/office/drawing/2014/main" id="{E73A8EE0-33C0-436C-868E-F16F844C8F87}"/>
            </a:ext>
          </a:extLst>
        </xdr:cNvPr>
        <xdr:cNvSpPr txBox="1"/>
      </xdr:nvSpPr>
      <xdr:spPr>
        <a:xfrm>
          <a:off x="10122752" y="691000"/>
          <a:ext cx="2607628" cy="851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←必要なのは蒸発した質量である為</a:t>
          </a:r>
          <a:endParaRPr kumimoji="1" lang="en-US" altLang="ja-JP" sz="1100"/>
        </a:p>
        <a:p>
          <a:r>
            <a:rPr kumimoji="1" lang="ja-JP" altLang="en-US" sz="1100"/>
            <a:t>　コニカルバスケットのみの質量は</a:t>
          </a:r>
          <a:endParaRPr kumimoji="1" lang="en-US" altLang="ja-JP" sz="1100"/>
        </a:p>
        <a:p>
          <a:r>
            <a:rPr kumimoji="1" lang="ja-JP" altLang="en-US" sz="1100"/>
            <a:t>　必要ではないと思う</a:t>
          </a:r>
        </a:p>
      </xdr:txBody>
    </xdr:sp>
    <xdr:clientData/>
  </xdr:twoCellAnchor>
  <xdr:twoCellAnchor>
    <xdr:from>
      <xdr:col>1</xdr:col>
      <xdr:colOff>145792</xdr:colOff>
      <xdr:row>18</xdr:row>
      <xdr:rowOff>126351</xdr:rowOff>
    </xdr:from>
    <xdr:to>
      <xdr:col>4</xdr:col>
      <xdr:colOff>583163</xdr:colOff>
      <xdr:row>21</xdr:row>
      <xdr:rowOff>92334</xdr:rowOff>
    </xdr:to>
    <xdr:sp macro="" textlink="">
      <xdr:nvSpPr>
        <xdr:cNvPr id="3" name="テキスト ボックス 2">
          <a:extLst>
            <a:ext uri="{FF2B5EF4-FFF2-40B4-BE49-F238E27FC236}">
              <a16:creationId xmlns:a16="http://schemas.microsoft.com/office/drawing/2014/main" id="{A6A38F82-DF08-4844-B0D6-D6640B4DD17A}"/>
            </a:ext>
          </a:extLst>
        </xdr:cNvPr>
        <xdr:cNvSpPr txBox="1"/>
      </xdr:nvSpPr>
      <xdr:spPr>
        <a:xfrm>
          <a:off x="831592" y="4255439"/>
          <a:ext cx="3628246" cy="64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上の表の列数はあくまで目安なのでこれより</a:t>
          </a:r>
          <a:endParaRPr kumimoji="1" lang="en-US" altLang="ja-JP" sz="1100"/>
        </a:p>
        <a:p>
          <a:r>
            <a:rPr kumimoji="1" lang="ja-JP" altLang="en-US" sz="1100"/>
            <a:t>　少なくなることもあれば多くなることもあるかも</a:t>
          </a:r>
        </a:p>
      </xdr:txBody>
    </xdr:sp>
    <xdr:clientData/>
  </xdr:twoCellAnchor>
  <xdr:twoCellAnchor editAs="oneCell">
    <xdr:from>
      <xdr:col>8</xdr:col>
      <xdr:colOff>262283</xdr:colOff>
      <xdr:row>9</xdr:row>
      <xdr:rowOff>1</xdr:rowOff>
    </xdr:from>
    <xdr:to>
      <xdr:col>11</xdr:col>
      <xdr:colOff>236673</xdr:colOff>
      <xdr:row>18</xdr:row>
      <xdr:rowOff>22202</xdr:rowOff>
    </xdr:to>
    <xdr:pic>
      <xdr:nvPicPr>
        <xdr:cNvPr id="4" name="図 3">
          <a:extLst>
            <a:ext uri="{FF2B5EF4-FFF2-40B4-BE49-F238E27FC236}">
              <a16:creationId xmlns:a16="http://schemas.microsoft.com/office/drawing/2014/main" id="{0AA5C068-0E72-41B9-95F5-57BBAA5CDF86}"/>
            </a:ext>
          </a:extLst>
        </xdr:cNvPr>
        <xdr:cNvPicPr>
          <a:picLocks noChangeAspect="1"/>
        </xdr:cNvPicPr>
      </xdr:nvPicPr>
      <xdr:blipFill>
        <a:blip xmlns:r="http://schemas.openxmlformats.org/officeDocument/2006/relationships" r:embed="rId1"/>
        <a:stretch>
          <a:fillRect/>
        </a:stretch>
      </xdr:blipFill>
      <xdr:spPr>
        <a:xfrm>
          <a:off x="10334971" y="2052639"/>
          <a:ext cx="2031790" cy="2036738"/>
        </a:xfrm>
        <a:prstGeom prst="rect">
          <a:avLst/>
        </a:prstGeom>
      </xdr:spPr>
    </xdr:pic>
    <xdr:clientData/>
  </xdr:twoCellAnchor>
  <xdr:twoCellAnchor>
    <xdr:from>
      <xdr:col>9</xdr:col>
      <xdr:colOff>10001</xdr:colOff>
      <xdr:row>18</xdr:row>
      <xdr:rowOff>62978</xdr:rowOff>
    </xdr:from>
    <xdr:to>
      <xdr:col>10</xdr:col>
      <xdr:colOff>425449</xdr:colOff>
      <xdr:row>20</xdr:row>
      <xdr:rowOff>146050</xdr:rowOff>
    </xdr:to>
    <mc:AlternateContent xmlns:mc="http://schemas.openxmlformats.org/markup-compatibility/2006" xmlns:a14="http://schemas.microsoft.com/office/drawing/2010/main">
      <mc:Choice Requires="a14">
        <xdr:sp macro="" textlink="">
          <xdr:nvSpPr>
            <xdr:cNvPr id="5" name="テキスト ボックス 4">
              <a:extLst>
                <a:ext uri="{FF2B5EF4-FFF2-40B4-BE49-F238E27FC236}">
                  <a16:creationId xmlns:a16="http://schemas.microsoft.com/office/drawing/2014/main" id="{B4FAA45E-1177-44EE-97BA-7DD2AC94574B}"/>
                </a:ext>
              </a:extLst>
            </xdr:cNvPr>
            <xdr:cNvSpPr txBox="1"/>
          </xdr:nvSpPr>
          <xdr:spPr>
            <a:xfrm>
              <a:off x="10768489" y="4192066"/>
              <a:ext cx="1101248" cy="5355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func>
                      <m:funcPr>
                        <m:ctrlPr>
                          <a:rPr kumimoji="1" lang="en-US" altLang="ja-JP" sz="1600" i="1">
                            <a:latin typeface="Cambria Math" panose="02040503050406030204" pitchFamily="18" charset="0"/>
                          </a:rPr>
                        </m:ctrlPr>
                      </m:funcPr>
                      <m:fName>
                        <m:r>
                          <m:rPr>
                            <m:sty m:val="p"/>
                          </m:rPr>
                          <a:rPr kumimoji="1" lang="en-US" altLang="ja-JP" sz="1600" i="0">
                            <a:latin typeface="Cambria Math" panose="02040503050406030204" pitchFamily="18" charset="0"/>
                          </a:rPr>
                          <m:t>cos</m:t>
                        </m:r>
                      </m:fName>
                      <m:e>
                        <m:r>
                          <a:rPr kumimoji="1" lang="ja-JP" altLang="en-US" sz="1600" i="1">
                            <a:latin typeface="Cambria Math" panose="02040503050406030204" pitchFamily="18" charset="0"/>
                          </a:rPr>
                          <m:t>𝜃</m:t>
                        </m:r>
                        <m:r>
                          <a:rPr kumimoji="1" lang="en-US" altLang="ja-JP" sz="1600" b="0" i="1">
                            <a:latin typeface="Cambria Math" panose="02040503050406030204" pitchFamily="18" charset="0"/>
                          </a:rPr>
                          <m:t>=</m:t>
                        </m:r>
                        <m:f>
                          <m:fPr>
                            <m:ctrlPr>
                              <a:rPr kumimoji="1" lang="en-US" altLang="ja-JP" sz="1600" b="0" i="1">
                                <a:latin typeface="Cambria Math" panose="02040503050406030204" pitchFamily="18" charset="0"/>
                              </a:rPr>
                            </m:ctrlPr>
                          </m:fPr>
                          <m:num>
                            <m:r>
                              <a:rPr kumimoji="1" lang="en-US" altLang="ja-JP" sz="1600" b="0" i="1">
                                <a:latin typeface="Cambria Math" panose="02040503050406030204" pitchFamily="18" charset="0"/>
                              </a:rPr>
                              <m:t>h</m:t>
                            </m:r>
                          </m:num>
                          <m:den>
                            <m:r>
                              <a:rPr kumimoji="1" lang="en-US" altLang="ja-JP" sz="1600" b="0" i="1">
                                <a:latin typeface="Cambria Math" panose="02040503050406030204" pitchFamily="18" charset="0"/>
                              </a:rPr>
                              <m:t>𝑟</m:t>
                            </m:r>
                          </m:den>
                        </m:f>
                      </m:e>
                    </m:func>
                  </m:oMath>
                </m:oMathPara>
              </a14:m>
              <a:endParaRPr kumimoji="1" lang="ja-JP" altLang="en-US" sz="1600"/>
            </a:p>
          </xdr:txBody>
        </xdr:sp>
      </mc:Choice>
      <mc:Fallback xmlns="">
        <xdr:sp macro="" textlink="">
          <xdr:nvSpPr>
            <xdr:cNvPr id="5" name="テキスト ボックス 4">
              <a:extLst>
                <a:ext uri="{FF2B5EF4-FFF2-40B4-BE49-F238E27FC236}">
                  <a16:creationId xmlns:a16="http://schemas.microsoft.com/office/drawing/2014/main" id="{B4FAA45E-1177-44EE-97BA-7DD2AC94574B}"/>
                </a:ext>
              </a:extLst>
            </xdr:cNvPr>
            <xdr:cNvSpPr txBox="1"/>
          </xdr:nvSpPr>
          <xdr:spPr>
            <a:xfrm>
              <a:off x="10768489" y="4192066"/>
              <a:ext cx="1101248" cy="5355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kumimoji="1" lang="en-US" altLang="ja-JP" sz="1600" i="0">
                  <a:latin typeface="Cambria Math" panose="02040503050406030204" pitchFamily="18" charset="0"/>
                </a:rPr>
                <a:t>cos⁡〖</a:t>
              </a:r>
              <a:r>
                <a:rPr kumimoji="1" lang="ja-JP" altLang="en-US" sz="1600" i="0">
                  <a:latin typeface="Cambria Math" panose="02040503050406030204" pitchFamily="18" charset="0"/>
                </a:rPr>
                <a:t>𝜃</a:t>
              </a:r>
              <a:r>
                <a:rPr kumimoji="1" lang="en-US" altLang="ja-JP" sz="1600" b="0" i="0">
                  <a:latin typeface="Cambria Math" panose="02040503050406030204" pitchFamily="18" charset="0"/>
                </a:rPr>
                <a:t>=ℎ/𝑟〗</a:t>
              </a:r>
              <a:endParaRPr kumimoji="1" lang="ja-JP" altLang="en-US" sz="1600"/>
            </a:p>
          </xdr:txBody>
        </xdr:sp>
      </mc:Fallback>
    </mc:AlternateContent>
    <xdr:clientData/>
  </xdr:twoCellAnchor>
  <xdr:twoCellAnchor editAs="oneCell">
    <xdr:from>
      <xdr:col>5</xdr:col>
      <xdr:colOff>600764</xdr:colOff>
      <xdr:row>21</xdr:row>
      <xdr:rowOff>206563</xdr:rowOff>
    </xdr:from>
    <xdr:to>
      <xdr:col>6</xdr:col>
      <xdr:colOff>1332576</xdr:colOff>
      <xdr:row>28</xdr:row>
      <xdr:rowOff>207373</xdr:rowOff>
    </xdr:to>
    <xdr:pic>
      <xdr:nvPicPr>
        <xdr:cNvPr id="6" name="図 5">
          <a:extLst>
            <a:ext uri="{FF2B5EF4-FFF2-40B4-BE49-F238E27FC236}">
              <a16:creationId xmlns:a16="http://schemas.microsoft.com/office/drawing/2014/main" id="{8A53CBD1-36D4-462B-998C-E083EA87EDB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63339" y="5016688"/>
          <a:ext cx="2165324" cy="1567672"/>
        </a:xfrm>
        <a:prstGeom prst="rect">
          <a:avLst/>
        </a:prstGeom>
      </xdr:spPr>
    </xdr:pic>
    <xdr:clientData/>
  </xdr:twoCellAnchor>
  <xdr:oneCellAnchor>
    <xdr:from>
      <xdr:col>2</xdr:col>
      <xdr:colOff>453992</xdr:colOff>
      <xdr:row>25</xdr:row>
      <xdr:rowOff>26339</xdr:rowOff>
    </xdr:from>
    <xdr:ext cx="75405" cy="173766"/>
    <mc:AlternateContent xmlns:mc="http://schemas.openxmlformats.org/markup-compatibility/2006" xmlns:a14="http://schemas.microsoft.com/office/drawing/2010/main">
      <mc:Choice Requires="a14">
        <xdr:sp macro="" textlink="">
          <xdr:nvSpPr>
            <xdr:cNvPr id="7" name="テキスト ボックス 6">
              <a:extLst>
                <a:ext uri="{FF2B5EF4-FFF2-40B4-BE49-F238E27FC236}">
                  <a16:creationId xmlns:a16="http://schemas.microsoft.com/office/drawing/2014/main" id="{474AA9E1-6913-4093-91FE-6C57E45A698B}"/>
                </a:ext>
              </a:extLst>
            </xdr:cNvPr>
            <xdr:cNvSpPr txBox="1"/>
          </xdr:nvSpPr>
          <xdr:spPr>
            <a:xfrm>
              <a:off x="1825592" y="5746102"/>
              <a:ext cx="7540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𝑙</m:t>
                    </m:r>
                  </m:oMath>
                </m:oMathPara>
              </a14:m>
              <a:endParaRPr kumimoji="1" lang="ja-JP" altLang="en-US" sz="1100"/>
            </a:p>
          </xdr:txBody>
        </xdr:sp>
      </mc:Choice>
      <mc:Fallback xmlns="">
        <xdr:sp macro="" textlink="">
          <xdr:nvSpPr>
            <xdr:cNvPr id="7" name="テキスト ボックス 6">
              <a:extLst>
                <a:ext uri="{FF2B5EF4-FFF2-40B4-BE49-F238E27FC236}">
                  <a16:creationId xmlns:a16="http://schemas.microsoft.com/office/drawing/2014/main" id="{474AA9E1-6913-4093-91FE-6C57E45A698B}"/>
                </a:ext>
              </a:extLst>
            </xdr:cNvPr>
            <xdr:cNvSpPr txBox="1"/>
          </xdr:nvSpPr>
          <xdr:spPr>
            <a:xfrm>
              <a:off x="1825592" y="5746102"/>
              <a:ext cx="7540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kumimoji="1" lang="en-US" altLang="ja-JP" sz="1100" b="0" i="0">
                  <a:latin typeface="Cambria Math" panose="02040503050406030204" pitchFamily="18" charset="0"/>
                </a:rPr>
                <a:t>𝑙</a:t>
              </a:r>
              <a:endParaRPr kumimoji="1" lang="ja-JP" altLang="en-US" sz="1100"/>
            </a:p>
          </xdr:txBody>
        </xdr:sp>
      </mc:Fallback>
    </mc:AlternateContent>
    <xdr:clientData/>
  </xdr:oneCellAnchor>
  <xdr:oneCellAnchor>
    <xdr:from>
      <xdr:col>3</xdr:col>
      <xdr:colOff>563725</xdr:colOff>
      <xdr:row>25</xdr:row>
      <xdr:rowOff>14579</xdr:rowOff>
    </xdr:from>
    <xdr:ext cx="159467" cy="173766"/>
    <mc:AlternateContent xmlns:mc="http://schemas.openxmlformats.org/markup-compatibility/2006" xmlns:a14="http://schemas.microsoft.com/office/drawing/2010/main">
      <mc:Choice Requires="a14">
        <xdr:sp macro="" textlink="">
          <xdr:nvSpPr>
            <xdr:cNvPr id="8" name="テキスト ボックス 7">
              <a:extLst>
                <a:ext uri="{FF2B5EF4-FFF2-40B4-BE49-F238E27FC236}">
                  <a16:creationId xmlns:a16="http://schemas.microsoft.com/office/drawing/2014/main" id="{C3CDB44C-9C72-41EC-9A06-9D0AF1965DBE}"/>
                </a:ext>
              </a:extLst>
            </xdr:cNvPr>
            <xdr:cNvSpPr txBox="1"/>
          </xdr:nvSpPr>
          <xdr:spPr>
            <a:xfrm>
              <a:off x="3083088" y="5734342"/>
              <a:ext cx="1594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rPr>
                      <m:t>𝑙</m:t>
                    </m:r>
                  </m:oMath>
                </m:oMathPara>
              </a14:m>
              <a:endParaRPr kumimoji="1" lang="ja-JP" altLang="en-US" sz="1100"/>
            </a:p>
          </xdr:txBody>
        </xdr:sp>
      </mc:Choice>
      <mc:Fallback xmlns="">
        <xdr:sp macro="" textlink="">
          <xdr:nvSpPr>
            <xdr:cNvPr id="8" name="テキスト ボックス 7">
              <a:extLst>
                <a:ext uri="{FF2B5EF4-FFF2-40B4-BE49-F238E27FC236}">
                  <a16:creationId xmlns:a16="http://schemas.microsoft.com/office/drawing/2014/main" id="{C3CDB44C-9C72-41EC-9A06-9D0AF1965DBE}"/>
                </a:ext>
              </a:extLst>
            </xdr:cNvPr>
            <xdr:cNvSpPr txBox="1"/>
          </xdr:nvSpPr>
          <xdr:spPr>
            <a:xfrm>
              <a:off x="3083088" y="5734342"/>
              <a:ext cx="1594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kumimoji="1" lang="en-US" altLang="ja-JP" sz="1100" b="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rPr>
                <a:t>𝑙</a:t>
              </a:r>
              <a:endParaRPr kumimoji="1" lang="ja-JP" altLang="en-US" sz="1100"/>
            </a:p>
          </xdr:txBody>
        </xdr:sp>
      </mc:Fallback>
    </mc:AlternateContent>
    <xdr:clientData/>
  </xdr:oneCellAnchor>
  <xdr:twoCellAnchor>
    <xdr:from>
      <xdr:col>0</xdr:col>
      <xdr:colOff>570075</xdr:colOff>
      <xdr:row>39</xdr:row>
      <xdr:rowOff>129786</xdr:rowOff>
    </xdr:from>
    <xdr:to>
      <xdr:col>5</xdr:col>
      <xdr:colOff>103544</xdr:colOff>
      <xdr:row>42</xdr:row>
      <xdr:rowOff>68099</xdr:rowOff>
    </xdr:to>
    <mc:AlternateContent xmlns:mc="http://schemas.openxmlformats.org/markup-compatibility/2006" xmlns:a14="http://schemas.microsoft.com/office/drawing/2010/main">
      <mc:Choice Requires="a14">
        <xdr:sp macro="" textlink="">
          <xdr:nvSpPr>
            <xdr:cNvPr id="9" name="テキスト ボックス 8">
              <a:extLst>
                <a:ext uri="{FF2B5EF4-FFF2-40B4-BE49-F238E27FC236}">
                  <a16:creationId xmlns:a16="http://schemas.microsoft.com/office/drawing/2014/main" id="{221A9EC0-1113-4895-9A12-B1585F99EF3E}"/>
                </a:ext>
              </a:extLst>
            </xdr:cNvPr>
            <xdr:cNvSpPr txBox="1"/>
          </xdr:nvSpPr>
          <xdr:spPr>
            <a:xfrm>
              <a:off x="570075" y="9016611"/>
              <a:ext cx="4896044" cy="6336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14:m>
                <m:oMath xmlns:m="http://schemas.openxmlformats.org/officeDocument/2006/math">
                  <m:r>
                    <a:rPr kumimoji="1" lang="ja-JP" altLang="en-US" sz="1100" b="0" i="1">
                      <a:latin typeface="Cambria Math" panose="02040503050406030204" pitchFamily="18" charset="0"/>
                    </a:rPr>
                    <m:t>また、</m:t>
                  </m:r>
                  <m:r>
                    <a:rPr kumimoji="1" lang="en-US" altLang="ja-JP" sz="1100" b="0" i="1">
                      <a:latin typeface="Cambria Math" panose="02040503050406030204" pitchFamily="18" charset="0"/>
                    </a:rPr>
                    <m:t>𝑙</m:t>
                  </m:r>
                  <m:r>
                    <a:rPr kumimoji="1" lang="en-US" altLang="ja-JP" sz="1100" b="0" i="1">
                      <a:latin typeface="Cambria Math" panose="02040503050406030204" pitchFamily="18" charset="0"/>
                    </a:rPr>
                    <m:t>, ∆</m:t>
                  </m:r>
                  <m:r>
                    <a:rPr kumimoji="1" lang="en-US" altLang="ja-JP" sz="1100" b="0" i="1">
                      <a:latin typeface="Cambria Math" panose="02040503050406030204" pitchFamily="18" charset="0"/>
                    </a:rPr>
                    <m:t>𝑙</m:t>
                  </m:r>
                  <m:r>
                    <a:rPr kumimoji="1" lang="en-US" altLang="ja-JP" sz="1100" b="0" i="1">
                      <a:latin typeface="Cambria Math" panose="02040503050406030204" pitchFamily="18" charset="0"/>
                    </a:rPr>
                    <m:t> </m:t>
                  </m:r>
                </m:oMath>
              </a14:m>
              <a:r>
                <a:rPr kumimoji="1" lang="ja-JP" altLang="en-US" sz="1100"/>
                <a:t>に関しては</a:t>
              </a:r>
              <a:r>
                <a:rPr kumimoji="1" lang="en-US" altLang="ja-JP" sz="1100"/>
                <a:t>PC</a:t>
              </a:r>
              <a:r>
                <a:rPr kumimoji="1" lang="ja-JP" altLang="en-US" sz="1100"/>
                <a:t>で映し出されたものを定規で測ることが想定されるため単位はここには書かないので必要な場合は適宜書き加えて</a:t>
              </a:r>
            </a:p>
          </xdr:txBody>
        </xdr:sp>
      </mc:Choice>
      <mc:Fallback xmlns="">
        <xdr:sp macro="" textlink="">
          <xdr:nvSpPr>
            <xdr:cNvPr id="9" name="テキスト ボックス 8">
              <a:extLst>
                <a:ext uri="{FF2B5EF4-FFF2-40B4-BE49-F238E27FC236}">
                  <a16:creationId xmlns:a16="http://schemas.microsoft.com/office/drawing/2014/main" id="{221A9EC0-1113-4895-9A12-B1585F99EF3E}"/>
                </a:ext>
              </a:extLst>
            </xdr:cNvPr>
            <xdr:cNvSpPr txBox="1"/>
          </xdr:nvSpPr>
          <xdr:spPr>
            <a:xfrm>
              <a:off x="570075" y="9016611"/>
              <a:ext cx="4896044" cy="6336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i="0">
                  <a:latin typeface="Cambria Math" panose="02040503050406030204" pitchFamily="18" charset="0"/>
                </a:rPr>
                <a:t>また、</a:t>
              </a:r>
              <a:r>
                <a:rPr kumimoji="1" lang="en-US" altLang="ja-JP" sz="1100" b="0" i="0">
                  <a:latin typeface="Cambria Math" panose="02040503050406030204" pitchFamily="18" charset="0"/>
                </a:rPr>
                <a:t>𝑙, ∆𝑙 </a:t>
              </a:r>
              <a:r>
                <a:rPr kumimoji="1" lang="ja-JP" altLang="en-US" sz="1100"/>
                <a:t>に関しては</a:t>
              </a:r>
              <a:r>
                <a:rPr kumimoji="1" lang="en-US" altLang="ja-JP" sz="1100"/>
                <a:t>PC</a:t>
              </a:r>
              <a:r>
                <a:rPr kumimoji="1" lang="ja-JP" altLang="en-US" sz="1100"/>
                <a:t>で映し出されたものを定規で測ることが想定されるため単位はここには書かないので必要な場合は適宜書き加えて</a:t>
              </a:r>
            </a:p>
          </xdr:txBody>
        </xdr:sp>
      </mc:Fallback>
    </mc:AlternateContent>
    <xdr:clientData/>
  </xdr:twoCellAnchor>
  <xdr:twoCellAnchor>
    <xdr:from>
      <xdr:col>5</xdr:col>
      <xdr:colOff>564608</xdr:colOff>
      <xdr:row>37</xdr:row>
      <xdr:rowOff>111772</xdr:rowOff>
    </xdr:from>
    <xdr:to>
      <xdr:col>9</xdr:col>
      <xdr:colOff>292466</xdr:colOff>
      <xdr:row>39</xdr:row>
      <xdr:rowOff>35342</xdr:rowOff>
    </xdr:to>
    <mc:AlternateContent xmlns:mc="http://schemas.openxmlformats.org/markup-compatibility/2006" xmlns:a14="http://schemas.microsoft.com/office/drawing/2010/main">
      <mc:Choice Requires="a14">
        <xdr:sp macro="" textlink="">
          <xdr:nvSpPr>
            <xdr:cNvPr id="10" name="テキスト ボックス 9">
              <a:extLst>
                <a:ext uri="{FF2B5EF4-FFF2-40B4-BE49-F238E27FC236}">
                  <a16:creationId xmlns:a16="http://schemas.microsoft.com/office/drawing/2014/main" id="{1E482ADB-D368-4A5F-9B7B-008A16C2E692}"/>
                </a:ext>
              </a:extLst>
            </xdr:cNvPr>
            <xdr:cNvSpPr txBox="1"/>
          </xdr:nvSpPr>
          <xdr:spPr>
            <a:xfrm>
              <a:off x="5927183" y="8550922"/>
              <a:ext cx="5123771" cy="371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教科書より、水銀灯の波長は</a:t>
              </a:r>
              <a14:m>
                <m:oMath xmlns:m="http://schemas.openxmlformats.org/officeDocument/2006/math">
                  <m:r>
                    <a:rPr kumimoji="1" lang="en-US" altLang="ja-JP" sz="1100" b="0" i="1">
                      <a:latin typeface="Cambria Math" panose="02040503050406030204" pitchFamily="18" charset="0"/>
                    </a:rPr>
                    <m:t>546.1 </m:t>
                  </m:r>
                  <m:r>
                    <m:rPr>
                      <m:sty m:val="p"/>
                    </m:rPr>
                    <a:rPr kumimoji="1" lang="en-US" altLang="ja-JP" sz="1100" b="0" i="0">
                      <a:latin typeface="Cambria Math" panose="02040503050406030204" pitchFamily="18" charset="0"/>
                    </a:rPr>
                    <m:t>nm</m:t>
                  </m:r>
                </m:oMath>
              </a14:m>
              <a:r>
                <a:rPr kumimoji="1" lang="ja-JP" altLang="en-US" sz="1100"/>
                <a:t>として計算を行った。</a:t>
              </a:r>
            </a:p>
          </xdr:txBody>
        </xdr:sp>
      </mc:Choice>
      <mc:Fallback xmlns="">
        <xdr:sp macro="" textlink="">
          <xdr:nvSpPr>
            <xdr:cNvPr id="10" name="テキスト ボックス 9">
              <a:extLst>
                <a:ext uri="{FF2B5EF4-FFF2-40B4-BE49-F238E27FC236}">
                  <a16:creationId xmlns:a16="http://schemas.microsoft.com/office/drawing/2014/main" id="{1E482ADB-D368-4A5F-9B7B-008A16C2E692}"/>
                </a:ext>
              </a:extLst>
            </xdr:cNvPr>
            <xdr:cNvSpPr txBox="1"/>
          </xdr:nvSpPr>
          <xdr:spPr>
            <a:xfrm>
              <a:off x="5927183" y="8550922"/>
              <a:ext cx="5123771" cy="371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教科書より、水銀灯の波長は</a:t>
              </a:r>
              <a:r>
                <a:rPr kumimoji="1" lang="en-US" altLang="ja-JP" sz="1100" b="0" i="0">
                  <a:latin typeface="Cambria Math" panose="02040503050406030204" pitchFamily="18" charset="0"/>
                </a:rPr>
                <a:t>546.1 nm</a:t>
              </a:r>
              <a:r>
                <a:rPr kumimoji="1" lang="ja-JP" altLang="en-US" sz="1100"/>
                <a:t>として計算を行った。</a:t>
              </a:r>
            </a:p>
          </xdr:txBody>
        </xdr:sp>
      </mc:Fallback>
    </mc:AlternateContent>
    <xdr:clientData/>
  </xdr:twoCellAnchor>
  <xdr:twoCellAnchor>
    <xdr:from>
      <xdr:col>5</xdr:col>
      <xdr:colOff>624803</xdr:colOff>
      <xdr:row>34</xdr:row>
      <xdr:rowOff>77154</xdr:rowOff>
    </xdr:from>
    <xdr:to>
      <xdr:col>6</xdr:col>
      <xdr:colOff>584858</xdr:colOff>
      <xdr:row>36</xdr:row>
      <xdr:rowOff>184315</xdr:rowOff>
    </xdr:to>
    <mc:AlternateContent xmlns:mc="http://schemas.openxmlformats.org/markup-compatibility/2006" xmlns:a14="http://schemas.microsoft.com/office/drawing/2010/main">
      <mc:Choice Requires="a14">
        <xdr:sp macro="" textlink="">
          <xdr:nvSpPr>
            <xdr:cNvPr id="11" name="テキスト ボックス 10">
              <a:extLst>
                <a:ext uri="{FF2B5EF4-FFF2-40B4-BE49-F238E27FC236}">
                  <a16:creationId xmlns:a16="http://schemas.microsoft.com/office/drawing/2014/main" id="{3E52C555-AD39-4185-B203-5F831621FE40}"/>
                </a:ext>
              </a:extLst>
            </xdr:cNvPr>
            <xdr:cNvSpPr txBox="1"/>
          </xdr:nvSpPr>
          <xdr:spPr>
            <a:xfrm>
              <a:off x="5987378" y="7830504"/>
              <a:ext cx="1379280" cy="564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r>
                      <a:rPr kumimoji="1" lang="en-US" altLang="ja-JP" sz="1600" b="0" i="1">
                        <a:latin typeface="Cambria Math" panose="02040503050406030204" pitchFamily="18" charset="0"/>
                      </a:rPr>
                      <m:t>𝑡</m:t>
                    </m:r>
                    <m:r>
                      <a:rPr kumimoji="1" lang="en-US" altLang="ja-JP" sz="1600" b="0" i="1">
                        <a:latin typeface="Cambria Math" panose="02040503050406030204" pitchFamily="18" charset="0"/>
                      </a:rPr>
                      <m:t>=</m:t>
                    </m:r>
                    <m:f>
                      <m:fPr>
                        <m:ctrlPr>
                          <a:rPr kumimoji="1" lang="en-US" altLang="ja-JP" sz="1600" b="0" i="1">
                            <a:latin typeface="Cambria Math" panose="02040503050406030204" pitchFamily="18" charset="0"/>
                            <a:ea typeface="Cambria Math" panose="02040503050406030204" pitchFamily="18" charset="0"/>
                          </a:rPr>
                        </m:ctrlPr>
                      </m:fPr>
                      <m:num>
                        <m:r>
                          <a:rPr kumimoji="1" lang="en-US" altLang="ja-JP" sz="1600" b="0" i="1">
                            <a:latin typeface="Cambria Math" panose="02040503050406030204" pitchFamily="18" charset="0"/>
                            <a:ea typeface="Cambria Math" panose="02040503050406030204" pitchFamily="18" charset="0"/>
                          </a:rPr>
                          <m:t>∆</m:t>
                        </m:r>
                        <m:r>
                          <a:rPr kumimoji="1" lang="en-US" altLang="ja-JP" sz="1600" b="0" i="1">
                            <a:latin typeface="Cambria Math" panose="02040503050406030204" pitchFamily="18" charset="0"/>
                            <a:ea typeface="Cambria Math" panose="02040503050406030204" pitchFamily="18" charset="0"/>
                          </a:rPr>
                          <m:t>𝑙</m:t>
                        </m:r>
                      </m:num>
                      <m:den>
                        <m:r>
                          <a:rPr kumimoji="1" lang="en-US" altLang="ja-JP" sz="1600" b="0" i="1">
                            <a:latin typeface="Cambria Math" panose="02040503050406030204" pitchFamily="18" charset="0"/>
                            <a:ea typeface="Cambria Math" panose="02040503050406030204" pitchFamily="18" charset="0"/>
                          </a:rPr>
                          <m:t>𝑙</m:t>
                        </m:r>
                      </m:den>
                    </m:f>
                    <m:f>
                      <m:fPr>
                        <m:ctrlPr>
                          <a:rPr kumimoji="1" lang="en-US" altLang="ja-JP" sz="1600" b="0" i="1">
                            <a:latin typeface="Cambria Math" panose="02040503050406030204" pitchFamily="18" charset="0"/>
                            <a:ea typeface="Cambria Math" panose="02040503050406030204" pitchFamily="18" charset="0"/>
                          </a:rPr>
                        </m:ctrlPr>
                      </m:fPr>
                      <m:num>
                        <m:r>
                          <m:rPr>
                            <m:sty m:val="p"/>
                          </m:rPr>
                          <a:rPr kumimoji="1" lang="en-US" altLang="ja-JP" sz="1600" b="0" i="1">
                            <a:latin typeface="Cambria Math" panose="02040503050406030204" pitchFamily="18" charset="0"/>
                            <a:ea typeface="Cambria Math" panose="02040503050406030204" pitchFamily="18" charset="0"/>
                          </a:rPr>
                          <m:t>λ</m:t>
                        </m:r>
                      </m:num>
                      <m:den>
                        <m:r>
                          <a:rPr kumimoji="1" lang="en-US" altLang="ja-JP" sz="1600" b="0" i="1">
                            <a:latin typeface="Cambria Math" panose="02040503050406030204" pitchFamily="18" charset="0"/>
                            <a:ea typeface="Cambria Math" panose="02040503050406030204" pitchFamily="18" charset="0"/>
                          </a:rPr>
                          <m:t>2</m:t>
                        </m:r>
                      </m:den>
                    </m:f>
                    <m:r>
                      <a:rPr kumimoji="1" lang="en-US" altLang="ja-JP" sz="1600" b="0" i="1">
                        <a:latin typeface="Cambria Math" panose="02040503050406030204" pitchFamily="18" charset="0"/>
                        <a:ea typeface="Cambria Math" panose="02040503050406030204" pitchFamily="18" charset="0"/>
                      </a:rPr>
                      <m:t> </m:t>
                    </m:r>
                  </m:oMath>
                </m:oMathPara>
              </a14:m>
              <a:endParaRPr kumimoji="1" lang="ja-JP" altLang="en-US" sz="1600"/>
            </a:p>
          </xdr:txBody>
        </xdr:sp>
      </mc:Choice>
      <mc:Fallback xmlns="">
        <xdr:sp macro="" textlink="">
          <xdr:nvSpPr>
            <xdr:cNvPr id="11" name="テキスト ボックス 10">
              <a:extLst>
                <a:ext uri="{FF2B5EF4-FFF2-40B4-BE49-F238E27FC236}">
                  <a16:creationId xmlns:a16="http://schemas.microsoft.com/office/drawing/2014/main" id="{3E52C555-AD39-4185-B203-5F831621FE40}"/>
                </a:ext>
              </a:extLst>
            </xdr:cNvPr>
            <xdr:cNvSpPr txBox="1"/>
          </xdr:nvSpPr>
          <xdr:spPr>
            <a:xfrm>
              <a:off x="5987378" y="7830504"/>
              <a:ext cx="1379280" cy="564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kumimoji="1" lang="en-US" altLang="ja-JP" sz="1600" b="0" i="0">
                  <a:latin typeface="Cambria Math" panose="02040503050406030204" pitchFamily="18" charset="0"/>
                </a:rPr>
                <a:t>𝑡=</a:t>
              </a:r>
              <a:r>
                <a:rPr kumimoji="1" lang="en-US" altLang="ja-JP" sz="1600" b="0" i="0">
                  <a:latin typeface="Cambria Math" panose="02040503050406030204" pitchFamily="18" charset="0"/>
                  <a:ea typeface="Cambria Math" panose="02040503050406030204" pitchFamily="18" charset="0"/>
                </a:rPr>
                <a:t>∆𝑙/𝑙  λ/2  </a:t>
              </a:r>
              <a:endParaRPr kumimoji="1" lang="ja-JP" altLang="en-US" sz="1600"/>
            </a:p>
          </xdr:txBody>
        </xdr:sp>
      </mc:Fallback>
    </mc:AlternateContent>
    <xdr:clientData/>
  </xdr:twoCellAnchor>
  <xdr:twoCellAnchor>
    <xdr:from>
      <xdr:col>11</xdr:col>
      <xdr:colOff>661435</xdr:colOff>
      <xdr:row>5</xdr:row>
      <xdr:rowOff>111345</xdr:rowOff>
    </xdr:from>
    <xdr:to>
      <xdr:col>19</xdr:col>
      <xdr:colOff>280202</xdr:colOff>
      <xdr:row>23</xdr:row>
      <xdr:rowOff>40559</xdr:rowOff>
    </xdr:to>
    <xdr:graphicFrame macro="">
      <xdr:nvGraphicFramePr>
        <xdr:cNvPr id="12" name="グラフ 11">
          <a:extLst>
            <a:ext uri="{FF2B5EF4-FFF2-40B4-BE49-F238E27FC236}">
              <a16:creationId xmlns:a16="http://schemas.microsoft.com/office/drawing/2014/main" id="{4AEE6106-FE33-4F04-9F2E-F6355D9A3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453992</xdr:colOff>
      <xdr:row>43</xdr:row>
      <xdr:rowOff>26339</xdr:rowOff>
    </xdr:from>
    <xdr:ext cx="75405" cy="173766"/>
    <mc:AlternateContent xmlns:mc="http://schemas.openxmlformats.org/markup-compatibility/2006" xmlns:a14="http://schemas.microsoft.com/office/drawing/2010/main">
      <mc:Choice Requires="a14">
        <xdr:sp macro="" textlink="">
          <xdr:nvSpPr>
            <xdr:cNvPr id="13" name="テキスト ボックス 12">
              <a:extLst>
                <a:ext uri="{FF2B5EF4-FFF2-40B4-BE49-F238E27FC236}">
                  <a16:creationId xmlns:a16="http://schemas.microsoft.com/office/drawing/2014/main" id="{9FAA3D73-6DA1-42CB-BA3D-3F8777FD8B71}"/>
                </a:ext>
              </a:extLst>
            </xdr:cNvPr>
            <xdr:cNvSpPr txBox="1"/>
          </xdr:nvSpPr>
          <xdr:spPr>
            <a:xfrm>
              <a:off x="1825592" y="9856139"/>
              <a:ext cx="7540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𝑙</m:t>
                    </m:r>
                  </m:oMath>
                </m:oMathPara>
              </a14:m>
              <a:endParaRPr kumimoji="1" lang="ja-JP" altLang="en-US" sz="1100"/>
            </a:p>
          </xdr:txBody>
        </xdr:sp>
      </mc:Choice>
      <mc:Fallback xmlns="">
        <xdr:sp macro="" textlink="">
          <xdr:nvSpPr>
            <xdr:cNvPr id="13" name="テキスト ボックス 12">
              <a:extLst>
                <a:ext uri="{FF2B5EF4-FFF2-40B4-BE49-F238E27FC236}">
                  <a16:creationId xmlns:a16="http://schemas.microsoft.com/office/drawing/2014/main" id="{9FAA3D73-6DA1-42CB-BA3D-3F8777FD8B71}"/>
                </a:ext>
              </a:extLst>
            </xdr:cNvPr>
            <xdr:cNvSpPr txBox="1"/>
          </xdr:nvSpPr>
          <xdr:spPr>
            <a:xfrm>
              <a:off x="1825592" y="9856139"/>
              <a:ext cx="7540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kumimoji="1" lang="en-US" altLang="ja-JP" sz="1100" b="0" i="0">
                  <a:latin typeface="Cambria Math" panose="02040503050406030204" pitchFamily="18" charset="0"/>
                </a:rPr>
                <a:t>𝑙</a:t>
              </a:r>
              <a:endParaRPr kumimoji="1" lang="ja-JP" altLang="en-US" sz="1100"/>
            </a:p>
          </xdr:txBody>
        </xdr:sp>
      </mc:Fallback>
    </mc:AlternateContent>
    <xdr:clientData/>
  </xdr:oneCellAnchor>
  <xdr:oneCellAnchor>
    <xdr:from>
      <xdr:col>3</xdr:col>
      <xdr:colOff>563725</xdr:colOff>
      <xdr:row>43</xdr:row>
      <xdr:rowOff>14579</xdr:rowOff>
    </xdr:from>
    <xdr:ext cx="159467" cy="173766"/>
    <mc:AlternateContent xmlns:mc="http://schemas.openxmlformats.org/markup-compatibility/2006" xmlns:a14="http://schemas.microsoft.com/office/drawing/2010/main">
      <mc:Choice Requires="a14">
        <xdr:sp macro="" textlink="">
          <xdr:nvSpPr>
            <xdr:cNvPr id="14" name="テキスト ボックス 13">
              <a:extLst>
                <a:ext uri="{FF2B5EF4-FFF2-40B4-BE49-F238E27FC236}">
                  <a16:creationId xmlns:a16="http://schemas.microsoft.com/office/drawing/2014/main" id="{AB9EBBDF-A64F-4829-8AC3-DD0DE67FEA3E}"/>
                </a:ext>
              </a:extLst>
            </xdr:cNvPr>
            <xdr:cNvSpPr txBox="1"/>
          </xdr:nvSpPr>
          <xdr:spPr>
            <a:xfrm>
              <a:off x="3083088" y="9844379"/>
              <a:ext cx="1594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rPr>
                      <m:t>𝑙</m:t>
                    </m:r>
                  </m:oMath>
                </m:oMathPara>
              </a14:m>
              <a:endParaRPr kumimoji="1" lang="ja-JP" altLang="en-US" sz="1100"/>
            </a:p>
          </xdr:txBody>
        </xdr:sp>
      </mc:Choice>
      <mc:Fallback xmlns="">
        <xdr:sp macro="" textlink="">
          <xdr:nvSpPr>
            <xdr:cNvPr id="14" name="テキスト ボックス 13">
              <a:extLst>
                <a:ext uri="{FF2B5EF4-FFF2-40B4-BE49-F238E27FC236}">
                  <a16:creationId xmlns:a16="http://schemas.microsoft.com/office/drawing/2014/main" id="{AB9EBBDF-A64F-4829-8AC3-DD0DE67FEA3E}"/>
                </a:ext>
              </a:extLst>
            </xdr:cNvPr>
            <xdr:cNvSpPr txBox="1"/>
          </xdr:nvSpPr>
          <xdr:spPr>
            <a:xfrm>
              <a:off x="3083088" y="9844379"/>
              <a:ext cx="1594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kumimoji="1" lang="en-US" altLang="ja-JP" sz="1100" b="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rPr>
                <a:t>𝑙</a:t>
              </a:r>
              <a:endParaRPr kumimoji="1" lang="ja-JP" altLang="en-US" sz="1100"/>
            </a:p>
          </xdr:txBody>
        </xdr:sp>
      </mc:Fallback>
    </mc:AlternateContent>
    <xdr:clientData/>
  </xdr:oneCellAnchor>
  <xdr:twoCellAnchor>
    <xdr:from>
      <xdr:col>0</xdr:col>
      <xdr:colOff>482600</xdr:colOff>
      <xdr:row>35</xdr:row>
      <xdr:rowOff>76200</xdr:rowOff>
    </xdr:from>
    <xdr:to>
      <xdr:col>5</xdr:col>
      <xdr:colOff>177799</xdr:colOff>
      <xdr:row>38</xdr:row>
      <xdr:rowOff>215899</xdr:rowOff>
    </xdr:to>
    <mc:AlternateContent xmlns:mc="http://schemas.openxmlformats.org/markup-compatibility/2006" xmlns:a14="http://schemas.microsoft.com/office/drawing/2010/main">
      <mc:Choice Requires="a14">
        <xdr:sp macro="" textlink="">
          <xdr:nvSpPr>
            <xdr:cNvPr id="15" name="テキスト ボックス 14">
              <a:extLst>
                <a:ext uri="{FF2B5EF4-FFF2-40B4-BE49-F238E27FC236}">
                  <a16:creationId xmlns:a16="http://schemas.microsoft.com/office/drawing/2014/main" id="{8181B7CC-8EB5-425E-8F87-E50EB79C9359}"/>
                </a:ext>
              </a:extLst>
            </xdr:cNvPr>
            <xdr:cNvSpPr txBox="1"/>
          </xdr:nvSpPr>
          <xdr:spPr>
            <a:xfrm>
              <a:off x="482600" y="8058150"/>
              <a:ext cx="5057774" cy="820737"/>
            </a:xfrm>
            <a:prstGeom prst="rect">
              <a:avLst/>
            </a:prstGeom>
            <a:solidFill>
              <a:schemeClr val="lt1"/>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14:m>
                <m:oMath xmlns:m="http://schemas.openxmlformats.org/officeDocument/2006/math">
                  <m:r>
                    <a:rPr kumimoji="1" lang="en-US" altLang="ja-JP" sz="1100" b="0" i="1">
                      <a:latin typeface="Cambria Math" panose="02040503050406030204" pitchFamily="18" charset="0"/>
                    </a:rPr>
                    <m:t>※  </m:t>
                  </m:r>
                  <m:r>
                    <a:rPr kumimoji="1" lang="en-US" altLang="ja-JP" sz="1100" b="0" i="1">
                      <a:latin typeface="Cambria Math" panose="02040503050406030204" pitchFamily="18" charset="0"/>
                    </a:rPr>
                    <m:t>𝑙</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𝑙</m:t>
                  </m:r>
                </m:oMath>
              </a14:m>
              <a:r>
                <a:rPr kumimoji="1" lang="ja-JP" altLang="en-US" sz="1100"/>
                <a:t>の測定に関しては、全ての干渉縞が見えるかは分からないので、下の</a:t>
              </a:r>
              <a:endParaRPr kumimoji="1" lang="en-US" altLang="ja-JP" sz="1100"/>
            </a:p>
            <a:p>
              <a:r>
                <a:rPr kumimoji="1" lang="ja-JP" altLang="en-US" sz="1100"/>
                <a:t>　表に一旦そのまま測定結果を記し、上の</a:t>
              </a:r>
              <a14:m>
                <m:oMath xmlns:m="http://schemas.openxmlformats.org/officeDocument/2006/math">
                  <m:r>
                    <a:rPr kumimoji="1" lang="ja-JP" altLang="en-US" sz="1100" b="0" i="1">
                      <a:latin typeface="Cambria Math" panose="02040503050406030204" pitchFamily="18" charset="0"/>
                    </a:rPr>
                    <m:t>表に</m:t>
                  </m:r>
                  <m:r>
                    <a:rPr kumimoji="1" lang="en-US" altLang="ja-JP" sz="1100" b="0" i="1">
                      <a:latin typeface="Cambria Math" panose="02040503050406030204" pitchFamily="18" charset="0"/>
                    </a:rPr>
                    <m:t>𝑥</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h</m:t>
                  </m:r>
                </m:oMath>
              </a14:m>
              <a:r>
                <a:rPr kumimoji="1" lang="ja-JP" altLang="en-US" sz="1100"/>
                <a:t>などの測定結果と対応で</a:t>
              </a:r>
              <a:endParaRPr kumimoji="1" lang="en-US" altLang="ja-JP" sz="1100"/>
            </a:p>
            <a:p>
              <a:r>
                <a:rPr kumimoji="1" lang="ja-JP" altLang="en-US" sz="1100"/>
                <a:t>　きるように書き直した方が早いかも。</a:t>
              </a:r>
              <a:r>
                <a:rPr kumimoji="1" lang="en-US" altLang="ja-JP" sz="1100"/>
                <a:t>(</a:t>
              </a:r>
              <a:r>
                <a:rPr kumimoji="1" lang="ja-JP" altLang="en-US" sz="1100"/>
                <a:t>実験時にやりやすい方で</a:t>
              </a:r>
              <a:r>
                <a:rPr kumimoji="1" lang="en-US" altLang="ja-JP" sz="1100"/>
                <a:t>)</a:t>
              </a:r>
              <a:endParaRPr kumimoji="1" lang="ja-JP" altLang="en-US" sz="1100"/>
            </a:p>
          </xdr:txBody>
        </xdr:sp>
      </mc:Choice>
      <mc:Fallback xmlns="">
        <xdr:sp macro="" textlink="">
          <xdr:nvSpPr>
            <xdr:cNvPr id="15" name="テキスト ボックス 14">
              <a:extLst>
                <a:ext uri="{FF2B5EF4-FFF2-40B4-BE49-F238E27FC236}">
                  <a16:creationId xmlns:a16="http://schemas.microsoft.com/office/drawing/2014/main" id="{8181B7CC-8EB5-425E-8F87-E50EB79C9359}"/>
                </a:ext>
              </a:extLst>
            </xdr:cNvPr>
            <xdr:cNvSpPr txBox="1"/>
          </xdr:nvSpPr>
          <xdr:spPr>
            <a:xfrm>
              <a:off x="482600" y="8058150"/>
              <a:ext cx="5057774" cy="820737"/>
            </a:xfrm>
            <a:prstGeom prst="rect">
              <a:avLst/>
            </a:prstGeom>
            <a:solidFill>
              <a:schemeClr val="lt1"/>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0" i="0">
                  <a:latin typeface="Cambria Math" panose="02040503050406030204" pitchFamily="18" charset="0"/>
                </a:rPr>
                <a:t>※  𝑙,∆</a:t>
              </a:r>
              <a:r>
                <a:rPr kumimoji="1" lang="en-US" altLang="ja-JP" sz="1100" b="0" i="0">
                  <a:latin typeface="Cambria Math" panose="02040503050406030204" pitchFamily="18" charset="0"/>
                  <a:ea typeface="Cambria Math" panose="02040503050406030204" pitchFamily="18" charset="0"/>
                </a:rPr>
                <a:t>𝑙</a:t>
              </a:r>
              <a:r>
                <a:rPr kumimoji="1" lang="ja-JP" altLang="en-US" sz="1100"/>
                <a:t>の測定に関しては、全ての干渉縞が見えるかは分からないので、下の</a:t>
              </a:r>
              <a:endParaRPr kumimoji="1" lang="en-US" altLang="ja-JP" sz="1100"/>
            </a:p>
            <a:p>
              <a:r>
                <a:rPr kumimoji="1" lang="ja-JP" altLang="en-US" sz="1100"/>
                <a:t>　表に一旦そのまま測定結果を記し、上の</a:t>
              </a:r>
              <a:r>
                <a:rPr kumimoji="1" lang="ja-JP" altLang="en-US" sz="1100" b="0" i="0">
                  <a:latin typeface="Cambria Math" panose="02040503050406030204" pitchFamily="18" charset="0"/>
                </a:rPr>
                <a:t>表に</a:t>
              </a:r>
              <a:r>
                <a:rPr kumimoji="1" lang="en-US" altLang="ja-JP" sz="1100" b="0" i="0">
                  <a:latin typeface="Cambria Math" panose="02040503050406030204" pitchFamily="18" charset="0"/>
                </a:rPr>
                <a:t>𝑥,ℎ</a:t>
              </a:r>
              <a:r>
                <a:rPr kumimoji="1" lang="ja-JP" altLang="en-US" sz="1100"/>
                <a:t>などの測定結果と対応で</a:t>
              </a:r>
              <a:endParaRPr kumimoji="1" lang="en-US" altLang="ja-JP" sz="1100"/>
            </a:p>
            <a:p>
              <a:r>
                <a:rPr kumimoji="1" lang="ja-JP" altLang="en-US" sz="1100"/>
                <a:t>　きるように書き直した方が早いかも。</a:t>
              </a:r>
              <a:r>
                <a:rPr kumimoji="1" lang="en-US" altLang="ja-JP" sz="1100"/>
                <a:t>(</a:t>
              </a:r>
              <a:r>
                <a:rPr kumimoji="1" lang="ja-JP" altLang="en-US" sz="1100"/>
                <a:t>実験時にやりやすい方で</a:t>
              </a:r>
              <a:r>
                <a:rPr kumimoji="1" lang="en-US" altLang="ja-JP" sz="1100"/>
                <a:t>)</a:t>
              </a:r>
              <a:endParaRPr kumimoji="1" lang="ja-JP" altLang="en-US" sz="1100"/>
            </a:p>
          </xdr:txBody>
        </xdr:sp>
      </mc:Fallback>
    </mc:AlternateContent>
    <xdr:clientData/>
  </xdr:twoCellAnchor>
  <xdr:twoCellAnchor>
    <xdr:from>
      <xdr:col>12</xdr:col>
      <xdr:colOff>186871</xdr:colOff>
      <xdr:row>24</xdr:row>
      <xdr:rowOff>186870</xdr:rowOff>
    </xdr:from>
    <xdr:to>
      <xdr:col>14</xdr:col>
      <xdr:colOff>250371</xdr:colOff>
      <xdr:row>27</xdr:row>
      <xdr:rowOff>180522</xdr:rowOff>
    </xdr:to>
    <mc:AlternateContent xmlns:mc="http://schemas.openxmlformats.org/markup-compatibility/2006" xmlns:a14="http://schemas.microsoft.com/office/drawing/2010/main">
      <mc:Choice Requires="a14">
        <xdr:sp macro="" textlink="">
          <xdr:nvSpPr>
            <xdr:cNvPr id="16" name="テキスト ボックス 15">
              <a:extLst>
                <a:ext uri="{FF2B5EF4-FFF2-40B4-BE49-F238E27FC236}">
                  <a16:creationId xmlns:a16="http://schemas.microsoft.com/office/drawing/2014/main" id="{D142BC01-0949-4F5B-B836-5B2391B3507A}"/>
                </a:ext>
              </a:extLst>
            </xdr:cNvPr>
            <xdr:cNvSpPr txBox="1"/>
          </xdr:nvSpPr>
          <xdr:spPr>
            <a:xfrm>
              <a:off x="13002759" y="5678033"/>
              <a:ext cx="1435100" cy="6746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r>
                      <a:rPr kumimoji="1" lang="en-US" altLang="ja-JP" sz="1600" b="0" i="1">
                        <a:latin typeface="Cambria Math" panose="02040503050406030204" pitchFamily="18" charset="0"/>
                      </a:rPr>
                      <m:t>𝑡</m:t>
                    </m:r>
                    <m:r>
                      <a:rPr kumimoji="1" lang="en-US" altLang="ja-JP" sz="1600" b="0" i="1">
                        <a:latin typeface="Cambria Math" panose="02040503050406030204" pitchFamily="18" charset="0"/>
                      </a:rPr>
                      <m:t>=</m:t>
                    </m:r>
                    <m:f>
                      <m:fPr>
                        <m:ctrlPr>
                          <a:rPr kumimoji="1" lang="en-US" altLang="ja-JP" sz="1600" b="0" i="1">
                            <a:latin typeface="Cambria Math" panose="02040503050406030204" pitchFamily="18" charset="0"/>
                          </a:rPr>
                        </m:ctrlPr>
                      </m:fPr>
                      <m:num>
                        <m:r>
                          <a:rPr kumimoji="1" lang="en-US" altLang="ja-JP" sz="1600" b="0" i="1">
                            <a:latin typeface="Cambria Math" panose="02040503050406030204" pitchFamily="18" charset="0"/>
                          </a:rPr>
                          <m:t>𝑠𝑚</m:t>
                        </m:r>
                      </m:num>
                      <m:den>
                        <m:r>
                          <a:rPr kumimoji="1" lang="en-US" altLang="ja-JP" sz="1600" b="0" i="1">
                            <a:latin typeface="Cambria Math" panose="02040503050406030204" pitchFamily="18" charset="0"/>
                          </a:rPr>
                          <m:t>4</m:t>
                        </m:r>
                        <m:r>
                          <m:rPr>
                            <m:sty m:val="p"/>
                          </m:rPr>
                          <a:rPr kumimoji="1" lang="en-US" altLang="ja-JP" sz="1600" b="0" i="1">
                            <a:latin typeface="Cambria Math" panose="02040503050406030204" pitchFamily="18" charset="0"/>
                          </a:rPr>
                          <m:t>π</m:t>
                        </m:r>
                        <m:r>
                          <a:rPr kumimoji="1" lang="ja-JP" altLang="en-US" sz="1600" b="0" i="1">
                            <a:latin typeface="Cambria Math" panose="02040503050406030204" pitchFamily="18" charset="0"/>
                          </a:rPr>
                          <m:t>𝜌</m:t>
                        </m:r>
                      </m:den>
                    </m:f>
                    <m:f>
                      <m:fPr>
                        <m:ctrlPr>
                          <a:rPr kumimoji="1" lang="en-US" altLang="ja-JP" sz="1600" b="0" i="1">
                            <a:latin typeface="Cambria Math" panose="02040503050406030204" pitchFamily="18" charset="0"/>
                          </a:rPr>
                        </m:ctrlPr>
                      </m:fPr>
                      <m:num>
                        <m:func>
                          <m:funcPr>
                            <m:ctrlPr>
                              <a:rPr kumimoji="1" lang="en-US" altLang="ja-JP" sz="1600" b="0" i="1">
                                <a:latin typeface="Cambria Math" panose="02040503050406030204" pitchFamily="18" charset="0"/>
                              </a:rPr>
                            </m:ctrlPr>
                          </m:funcPr>
                          <m:fName>
                            <m:r>
                              <m:rPr>
                                <m:sty m:val="p"/>
                              </m:rPr>
                              <a:rPr kumimoji="1" lang="en-US" altLang="ja-JP" sz="1600" b="0" i="0">
                                <a:latin typeface="Cambria Math" panose="02040503050406030204" pitchFamily="18" charset="0"/>
                              </a:rPr>
                              <m:t>cos</m:t>
                            </m:r>
                          </m:fName>
                          <m:e>
                            <m:r>
                              <a:rPr kumimoji="1" lang="en-US" altLang="ja-JP" sz="1600" b="0" i="1">
                                <a:latin typeface="Cambria Math" panose="02040503050406030204" pitchFamily="18" charset="0"/>
                                <a:ea typeface="Cambria Math" panose="02040503050406030204" pitchFamily="18" charset="0"/>
                              </a:rPr>
                              <m:t>𝜃</m:t>
                            </m:r>
                          </m:e>
                        </m:func>
                      </m:num>
                      <m:den>
                        <m:sSup>
                          <m:sSupPr>
                            <m:ctrlPr>
                              <a:rPr kumimoji="1" lang="en-US" altLang="ja-JP" sz="1600" b="0" i="1">
                                <a:latin typeface="Cambria Math" panose="02040503050406030204" pitchFamily="18" charset="0"/>
                              </a:rPr>
                            </m:ctrlPr>
                          </m:sSupPr>
                          <m:e>
                            <m:r>
                              <a:rPr kumimoji="1" lang="en-US" altLang="ja-JP" sz="1600" b="0" i="1">
                                <a:latin typeface="Cambria Math" panose="02040503050406030204" pitchFamily="18" charset="0"/>
                              </a:rPr>
                              <m:t>𝑟</m:t>
                            </m:r>
                          </m:e>
                          <m:sup>
                            <m:r>
                              <a:rPr kumimoji="1" lang="en-US" altLang="ja-JP" sz="1600" b="0" i="1">
                                <a:latin typeface="Cambria Math" panose="02040503050406030204" pitchFamily="18" charset="0"/>
                              </a:rPr>
                              <m:t>2</m:t>
                            </m:r>
                          </m:sup>
                        </m:sSup>
                      </m:den>
                    </m:f>
                  </m:oMath>
                </m:oMathPara>
              </a14:m>
              <a:endParaRPr kumimoji="1" lang="ja-JP" altLang="en-US" sz="1600"/>
            </a:p>
          </xdr:txBody>
        </xdr:sp>
      </mc:Choice>
      <mc:Fallback xmlns="">
        <xdr:sp macro="" textlink="">
          <xdr:nvSpPr>
            <xdr:cNvPr id="16" name="テキスト ボックス 15">
              <a:extLst>
                <a:ext uri="{FF2B5EF4-FFF2-40B4-BE49-F238E27FC236}">
                  <a16:creationId xmlns:a16="http://schemas.microsoft.com/office/drawing/2014/main" id="{D142BC01-0949-4F5B-B836-5B2391B3507A}"/>
                </a:ext>
              </a:extLst>
            </xdr:cNvPr>
            <xdr:cNvSpPr txBox="1"/>
          </xdr:nvSpPr>
          <xdr:spPr>
            <a:xfrm>
              <a:off x="13002759" y="5678033"/>
              <a:ext cx="1435100" cy="6746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kumimoji="1" lang="en-US" altLang="ja-JP" sz="1600" b="0" i="0">
                  <a:latin typeface="Cambria Math" panose="02040503050406030204" pitchFamily="18" charset="0"/>
                </a:rPr>
                <a:t>𝑡=𝑠𝑚/4π</a:t>
              </a:r>
              <a:r>
                <a:rPr kumimoji="1" lang="ja-JP" altLang="en-US" sz="1600" b="0" i="0">
                  <a:latin typeface="Cambria Math" panose="02040503050406030204" pitchFamily="18" charset="0"/>
                </a:rPr>
                <a:t>𝜌</a:t>
              </a:r>
              <a:r>
                <a:rPr kumimoji="1" lang="en-US" altLang="ja-JP" sz="1600" b="0" i="0">
                  <a:latin typeface="Cambria Math" panose="02040503050406030204" pitchFamily="18" charset="0"/>
                </a:rPr>
                <a:t>   cos⁡</a:t>
              </a:r>
              <a:r>
                <a:rPr kumimoji="1" lang="en-US" altLang="ja-JP" sz="1600" b="0" i="0">
                  <a:latin typeface="Cambria Math" panose="02040503050406030204" pitchFamily="18" charset="0"/>
                  <a:ea typeface="Cambria Math" panose="02040503050406030204" pitchFamily="18" charset="0"/>
                </a:rPr>
                <a:t>𝜃/</a:t>
              </a:r>
              <a:r>
                <a:rPr kumimoji="1" lang="en-US" altLang="ja-JP" sz="1600" b="0" i="0">
                  <a:latin typeface="Cambria Math" panose="02040503050406030204" pitchFamily="18" charset="0"/>
                </a:rPr>
                <a:t>𝑟^2 </a:t>
              </a:r>
              <a:endParaRPr kumimoji="1" lang="ja-JP" altLang="en-US" sz="1600"/>
            </a:p>
          </xdr:txBody>
        </xdr:sp>
      </mc:Fallback>
    </mc:AlternateContent>
    <xdr:clientData/>
  </xdr:twoCellAnchor>
  <xdr:twoCellAnchor>
    <xdr:from>
      <xdr:col>14</xdr:col>
      <xdr:colOff>600225</xdr:colOff>
      <xdr:row>24</xdr:row>
      <xdr:rowOff>96158</xdr:rowOff>
    </xdr:from>
    <xdr:to>
      <xdr:col>19</xdr:col>
      <xdr:colOff>409725</xdr:colOff>
      <xdr:row>28</xdr:row>
      <xdr:rowOff>93519</xdr:rowOff>
    </xdr:to>
    <mc:AlternateContent xmlns:mc="http://schemas.openxmlformats.org/markup-compatibility/2006" xmlns:a14="http://schemas.microsoft.com/office/drawing/2010/main">
      <mc:Choice Requires="a14">
        <xdr:sp macro="" textlink="">
          <xdr:nvSpPr>
            <xdr:cNvPr id="17" name="テキスト ボックス 16">
              <a:extLst>
                <a:ext uri="{FF2B5EF4-FFF2-40B4-BE49-F238E27FC236}">
                  <a16:creationId xmlns:a16="http://schemas.microsoft.com/office/drawing/2014/main" id="{27835CD4-4507-475B-9AD1-CA6B5C6E7302}"/>
                </a:ext>
              </a:extLst>
            </xdr:cNvPr>
            <xdr:cNvSpPr txBox="1"/>
          </xdr:nvSpPr>
          <xdr:spPr>
            <a:xfrm>
              <a:off x="14787713" y="5587321"/>
              <a:ext cx="3238500" cy="9069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教科書における左の関係式より、上の傾きは</a:t>
              </a:r>
              <a:endParaRPr kumimoji="1" lang="en-US" altLang="ja-JP" sz="1100"/>
            </a:p>
            <a:p>
              <a:pPr/>
              <a14:m>
                <m:oMathPara xmlns:m="http://schemas.openxmlformats.org/officeDocument/2006/math">
                  <m:oMathParaPr>
                    <m:jc m:val="centerGroup"/>
                  </m:oMathParaPr>
                  <m:oMath xmlns:m="http://schemas.openxmlformats.org/officeDocument/2006/math">
                    <m:f>
                      <m:fPr>
                        <m:ctrlPr>
                          <a:rPr kumimoji="1" lang="en-US" altLang="ja-JP" sz="1100" b="0" i="1">
                            <a:latin typeface="Cambria Math" panose="02040503050406030204" pitchFamily="18" charset="0"/>
                          </a:rPr>
                        </m:ctrlPr>
                      </m:fPr>
                      <m:num>
                        <m:r>
                          <a:rPr kumimoji="1" lang="en-US" altLang="ja-JP" sz="1100" b="0" i="1">
                            <a:latin typeface="Cambria Math" panose="02040503050406030204" pitchFamily="18" charset="0"/>
                          </a:rPr>
                          <m:t>𝑠𝑚</m:t>
                        </m:r>
                      </m:num>
                      <m:den>
                        <m:r>
                          <a:rPr kumimoji="1" lang="en-US" altLang="ja-JP" sz="1100" b="0" i="1">
                            <a:latin typeface="Cambria Math" panose="02040503050406030204" pitchFamily="18" charset="0"/>
                          </a:rPr>
                          <m:t>4</m:t>
                        </m:r>
                        <m:r>
                          <m:rPr>
                            <m:sty m:val="p"/>
                          </m:rPr>
                          <a:rPr kumimoji="1" lang="en-US" altLang="ja-JP" sz="1100" b="0" i="1">
                            <a:latin typeface="Cambria Math" panose="02040503050406030204" pitchFamily="18" charset="0"/>
                          </a:rPr>
                          <m:t>π</m:t>
                        </m:r>
                        <m:r>
                          <a:rPr kumimoji="1" lang="ja-JP" altLang="en-US" sz="1100" b="0" i="1">
                            <a:latin typeface="Cambria Math" panose="02040503050406030204" pitchFamily="18" charset="0"/>
                          </a:rPr>
                          <m:t>𝜌</m:t>
                        </m:r>
                      </m:den>
                    </m:f>
                  </m:oMath>
                </m:oMathPara>
              </a14:m>
              <a:endParaRPr kumimoji="1" lang="en-US" altLang="ja-JP" sz="1100" b="0"/>
            </a:p>
            <a:p>
              <a:r>
                <a:rPr kumimoji="1" lang="ja-JP" altLang="en-US" sz="1100"/>
                <a:t>となる。</a:t>
              </a:r>
              <a:endParaRPr kumimoji="1" lang="en-US" altLang="ja-JP" sz="1100"/>
            </a:p>
            <a:p>
              <a:endParaRPr kumimoji="1" lang="ja-JP" altLang="en-US" sz="1100"/>
            </a:p>
          </xdr:txBody>
        </xdr:sp>
      </mc:Choice>
      <mc:Fallback xmlns="">
        <xdr:sp macro="" textlink="">
          <xdr:nvSpPr>
            <xdr:cNvPr id="17" name="テキスト ボックス 16">
              <a:extLst>
                <a:ext uri="{FF2B5EF4-FFF2-40B4-BE49-F238E27FC236}">
                  <a16:creationId xmlns:a16="http://schemas.microsoft.com/office/drawing/2014/main" id="{27835CD4-4507-475B-9AD1-CA6B5C6E7302}"/>
                </a:ext>
              </a:extLst>
            </xdr:cNvPr>
            <xdr:cNvSpPr txBox="1"/>
          </xdr:nvSpPr>
          <xdr:spPr>
            <a:xfrm>
              <a:off x="14787713" y="5587321"/>
              <a:ext cx="3238500" cy="9069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教科書における左の関係式より、上の傾きは</a:t>
              </a:r>
              <a:endParaRPr kumimoji="1" lang="en-US" altLang="ja-JP" sz="1100"/>
            </a:p>
            <a:p>
              <a:pPr/>
              <a:r>
                <a:rPr kumimoji="1" lang="en-US" altLang="ja-JP" sz="1100" b="0" i="0">
                  <a:latin typeface="Cambria Math" panose="02040503050406030204" pitchFamily="18" charset="0"/>
                </a:rPr>
                <a:t>𝑠𝑚/4π</a:t>
              </a:r>
              <a:r>
                <a:rPr kumimoji="1" lang="ja-JP" altLang="en-US" sz="1100" b="0" i="0">
                  <a:latin typeface="Cambria Math" panose="02040503050406030204" pitchFamily="18" charset="0"/>
                </a:rPr>
                <a:t>𝜌</a:t>
              </a:r>
              <a:endParaRPr kumimoji="1" lang="en-US" altLang="ja-JP" sz="1100" b="0"/>
            </a:p>
            <a:p>
              <a:r>
                <a:rPr kumimoji="1" lang="ja-JP" altLang="en-US" sz="1100"/>
                <a:t>となる。</a:t>
              </a:r>
              <a:endParaRPr kumimoji="1" lang="en-US" altLang="ja-JP" sz="1100"/>
            </a:p>
            <a:p>
              <a:endParaRPr kumimoji="1" lang="ja-JP" altLang="en-US" sz="1100"/>
            </a:p>
          </xdr:txBody>
        </xdr:sp>
      </mc:Fallback>
    </mc:AlternateContent>
    <xdr:clientData/>
  </xdr:twoCellAnchor>
  <xdr:twoCellAnchor>
    <xdr:from>
      <xdr:col>5</xdr:col>
      <xdr:colOff>614542</xdr:colOff>
      <xdr:row>30</xdr:row>
      <xdr:rowOff>186337</xdr:rowOff>
    </xdr:from>
    <xdr:to>
      <xdr:col>7</xdr:col>
      <xdr:colOff>966653</xdr:colOff>
      <xdr:row>32</xdr:row>
      <xdr:rowOff>96271</xdr:rowOff>
    </xdr:to>
    <mc:AlternateContent xmlns:mc="http://schemas.openxmlformats.org/markup-compatibility/2006" xmlns:a14="http://schemas.microsoft.com/office/drawing/2010/main">
      <mc:Choice Requires="a14">
        <xdr:sp macro="" textlink="">
          <xdr:nvSpPr>
            <xdr:cNvPr id="18" name="テキスト ボックス 17">
              <a:extLst>
                <a:ext uri="{FF2B5EF4-FFF2-40B4-BE49-F238E27FC236}">
                  <a16:creationId xmlns:a16="http://schemas.microsoft.com/office/drawing/2014/main" id="{B83AA67E-AAA7-49C2-A4A6-7C495CC0240A}"/>
                </a:ext>
              </a:extLst>
            </xdr:cNvPr>
            <xdr:cNvSpPr txBox="1"/>
          </xdr:nvSpPr>
          <xdr:spPr>
            <a:xfrm>
              <a:off x="5977117" y="7039575"/>
              <a:ext cx="3585849" cy="357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←ここで求められる</a:t>
              </a:r>
              <a14:m>
                <m:oMath xmlns:m="http://schemas.openxmlformats.org/officeDocument/2006/math">
                  <m:r>
                    <a:rPr kumimoji="1" lang="en-US" altLang="ja-JP" sz="1100" b="0" i="0">
                      <a:latin typeface="Cambria Math" panose="02040503050406030204" pitchFamily="18" charset="0"/>
                    </a:rPr>
                    <m:t> </m:t>
                  </m:r>
                  <m:r>
                    <a:rPr kumimoji="1" lang="en-US" altLang="ja-JP" sz="1100" b="0" i="1">
                      <a:latin typeface="Cambria Math" panose="02040503050406030204" pitchFamily="18" charset="0"/>
                    </a:rPr>
                    <m:t>𝑡</m:t>
                  </m:r>
                  <m:r>
                    <a:rPr kumimoji="1" lang="en-US" altLang="ja-JP" sz="1100" b="0" i="1">
                      <a:latin typeface="Cambria Math" panose="02040503050406030204" pitchFamily="18" charset="0"/>
                    </a:rPr>
                    <m:t> </m:t>
                  </m:r>
                </m:oMath>
              </a14:m>
              <a:r>
                <a:rPr kumimoji="1" lang="ja-JP" altLang="en-US" sz="1100"/>
                <a:t>は実測値を示す。</a:t>
              </a:r>
            </a:p>
          </xdr:txBody>
        </xdr:sp>
      </mc:Choice>
      <mc:Fallback xmlns="">
        <xdr:sp macro="" textlink="">
          <xdr:nvSpPr>
            <xdr:cNvPr id="18" name="テキスト ボックス 17">
              <a:extLst>
                <a:ext uri="{FF2B5EF4-FFF2-40B4-BE49-F238E27FC236}">
                  <a16:creationId xmlns:a16="http://schemas.microsoft.com/office/drawing/2014/main" id="{B83AA67E-AAA7-49C2-A4A6-7C495CC0240A}"/>
                </a:ext>
              </a:extLst>
            </xdr:cNvPr>
            <xdr:cNvSpPr txBox="1"/>
          </xdr:nvSpPr>
          <xdr:spPr>
            <a:xfrm>
              <a:off x="5977117" y="7039575"/>
              <a:ext cx="3585849" cy="357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←ここで求められる</a:t>
              </a:r>
              <a:r>
                <a:rPr kumimoji="1" lang="en-US" altLang="ja-JP" sz="1100" b="0" i="0">
                  <a:latin typeface="Cambria Math" panose="02040503050406030204" pitchFamily="18" charset="0"/>
                </a:rPr>
                <a:t> 𝑡 </a:t>
              </a:r>
              <a:r>
                <a:rPr kumimoji="1" lang="ja-JP" altLang="en-US" sz="1100"/>
                <a:t>は実測値を示す。</a:t>
              </a:r>
            </a:p>
          </xdr:txBody>
        </xdr:sp>
      </mc:Fallback>
    </mc:AlternateContent>
    <xdr:clientData/>
  </xdr:twoCellAnchor>
  <xdr:twoCellAnchor>
    <xdr:from>
      <xdr:col>21</xdr:col>
      <xdr:colOff>303069</xdr:colOff>
      <xdr:row>10</xdr:row>
      <xdr:rowOff>173182</xdr:rowOff>
    </xdr:from>
    <xdr:to>
      <xdr:col>26</xdr:col>
      <xdr:colOff>204107</xdr:colOff>
      <xdr:row>15</xdr:row>
      <xdr:rowOff>61850</xdr:rowOff>
    </xdr:to>
    <mc:AlternateContent xmlns:mc="http://schemas.openxmlformats.org/markup-compatibility/2006" xmlns:a14="http://schemas.microsoft.com/office/drawing/2010/main">
      <mc:Choice Requires="a14">
        <xdr:sp macro="" textlink="">
          <xdr:nvSpPr>
            <xdr:cNvPr id="19" name="テキスト ボックス 18">
              <a:extLst>
                <a:ext uri="{FF2B5EF4-FFF2-40B4-BE49-F238E27FC236}">
                  <a16:creationId xmlns:a16="http://schemas.microsoft.com/office/drawing/2014/main" id="{E45AECFE-8710-46A6-98A9-5CF2D1997ADD}"/>
                </a:ext>
              </a:extLst>
            </xdr:cNvPr>
            <xdr:cNvSpPr txBox="1"/>
          </xdr:nvSpPr>
          <xdr:spPr>
            <a:xfrm>
              <a:off x="19291157" y="2473470"/>
              <a:ext cx="4544475" cy="1017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i="0">
                  <a:latin typeface="Cambria Math" panose="02040503050406030204" pitchFamily="18" charset="0"/>
                </a:rPr>
                <a:t>←</a:t>
              </a:r>
              <a:endParaRPr kumimoji="1" lang="en-US" altLang="ja-JP" sz="1100" b="0" i="0">
                <a:latin typeface="Cambria Math" panose="02040503050406030204" pitchFamily="18" charset="0"/>
              </a:endParaRPr>
            </a:p>
            <a:p>
              <a14:m>
                <m:oMath xmlns:m="http://schemas.openxmlformats.org/officeDocument/2006/math">
                  <m:r>
                    <a:rPr kumimoji="1" lang="en-US" altLang="ja-JP" sz="1100" b="0" i="1">
                      <a:latin typeface="Cambria Math" panose="02040503050406030204" pitchFamily="18" charset="0"/>
                    </a:rPr>
                    <m:t>𝑠</m:t>
                  </m:r>
                </m:oMath>
              </a14:m>
              <a:r>
                <a:rPr kumimoji="1" lang="ja-JP" altLang="en-US" sz="1100"/>
                <a:t>を導出するときは</a:t>
              </a:r>
              <a14:m>
                <m:oMath xmlns:m="http://schemas.openxmlformats.org/officeDocument/2006/math">
                  <m:sSup>
                    <m:sSupPr>
                      <m:ctrlPr>
                        <a:rPr kumimoji="1" lang="en-US" altLang="ja-JP" sz="1100" b="0" i="1">
                          <a:latin typeface="Cambria Math" panose="02040503050406030204" pitchFamily="18" charset="0"/>
                        </a:rPr>
                      </m:ctrlPr>
                    </m:sSupPr>
                    <m:e>
                      <m:r>
                        <a:rPr kumimoji="1" lang="en-US" altLang="ja-JP" sz="1100" b="0" i="1">
                          <a:latin typeface="Cambria Math" panose="02040503050406030204" pitchFamily="18" charset="0"/>
                        </a:rPr>
                        <m:t>10</m:t>
                      </m:r>
                    </m:e>
                    <m:sup>
                      <m:r>
                        <a:rPr kumimoji="1" lang="en-US" altLang="ja-JP" sz="1100" b="0" i="1">
                          <a:latin typeface="Cambria Math" panose="02040503050406030204" pitchFamily="18" charset="0"/>
                        </a:rPr>
                        <m:t>−9</m:t>
                      </m:r>
                    </m:sup>
                  </m:sSup>
                </m:oMath>
              </a14:m>
              <a:r>
                <a:rPr kumimoji="1" lang="ja-JP" altLang="en-US" sz="1100"/>
                <a:t>を掛けるが、下の計算式には</a:t>
              </a:r>
              <a14:m>
                <m:oMath xmlns:m="http://schemas.openxmlformats.org/officeDocument/2006/math">
                  <m:sSup>
                    <m:sSupPr>
                      <m:ctrlPr>
                        <a:rPr kumimoji="1" lang="en-US" altLang="ja-JP" sz="1100" b="0" i="1">
                          <a:latin typeface="Cambria Math" panose="02040503050406030204" pitchFamily="18" charset="0"/>
                        </a:rPr>
                      </m:ctrlPr>
                    </m:sSupPr>
                    <m:e>
                      <m:r>
                        <a:rPr kumimoji="1" lang="en-US" altLang="ja-JP" sz="1100" b="0" i="1">
                          <a:latin typeface="Cambria Math" panose="02040503050406030204" pitchFamily="18" charset="0"/>
                        </a:rPr>
                        <m:t>10</m:t>
                      </m:r>
                    </m:e>
                    <m:sup>
                      <m:r>
                        <a:rPr kumimoji="1" lang="en-US" altLang="ja-JP" sz="1100" b="0" i="1">
                          <a:latin typeface="Cambria Math" panose="02040503050406030204" pitchFamily="18" charset="0"/>
                        </a:rPr>
                        <m:t>−9</m:t>
                      </m:r>
                    </m:sup>
                  </m:sSup>
                  <m:r>
                    <a:rPr kumimoji="1" lang="ja-JP" altLang="en-US" sz="1100" b="0" i="1">
                      <a:latin typeface="Cambria Math" panose="02040503050406030204" pitchFamily="18" charset="0"/>
                    </a:rPr>
                    <m:t>を既に</m:t>
                  </m:r>
                </m:oMath>
              </a14:m>
              <a:r>
                <a:rPr kumimoji="1" lang="ja-JP" altLang="en-US" sz="1100"/>
                <a:t>式に入れてあるので、グラフの近似式に出てきた数字を入れて</a:t>
              </a:r>
            </a:p>
          </xdr:txBody>
        </xdr:sp>
      </mc:Choice>
      <mc:Fallback xmlns="">
        <xdr:sp macro="" textlink="">
          <xdr:nvSpPr>
            <xdr:cNvPr id="19" name="テキスト ボックス 18">
              <a:extLst>
                <a:ext uri="{FF2B5EF4-FFF2-40B4-BE49-F238E27FC236}">
                  <a16:creationId xmlns:a16="http://schemas.microsoft.com/office/drawing/2014/main" id="{E45AECFE-8710-46A6-98A9-5CF2D1997ADD}"/>
                </a:ext>
              </a:extLst>
            </xdr:cNvPr>
            <xdr:cNvSpPr txBox="1"/>
          </xdr:nvSpPr>
          <xdr:spPr>
            <a:xfrm>
              <a:off x="19291157" y="2473470"/>
              <a:ext cx="4544475" cy="1017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i="0">
                  <a:latin typeface="Cambria Math" panose="02040503050406030204" pitchFamily="18" charset="0"/>
                </a:rPr>
                <a:t>←</a:t>
              </a:r>
              <a:endParaRPr kumimoji="1" lang="en-US" altLang="ja-JP" sz="1100" b="0" i="0">
                <a:latin typeface="Cambria Math" panose="02040503050406030204" pitchFamily="18" charset="0"/>
              </a:endParaRPr>
            </a:p>
            <a:p>
              <a:r>
                <a:rPr kumimoji="1" lang="en-US" altLang="ja-JP" sz="1100" b="0" i="0">
                  <a:latin typeface="Cambria Math" panose="02040503050406030204" pitchFamily="18" charset="0"/>
                </a:rPr>
                <a:t>𝑠</a:t>
              </a:r>
              <a:r>
                <a:rPr kumimoji="1" lang="ja-JP" altLang="en-US" sz="1100"/>
                <a:t>を導出するときは</a:t>
              </a:r>
              <a:r>
                <a:rPr kumimoji="1" lang="en-US" altLang="ja-JP" sz="1100" b="0" i="0">
                  <a:latin typeface="Cambria Math" panose="02040503050406030204" pitchFamily="18" charset="0"/>
                </a:rPr>
                <a:t>10^(−9)</a:t>
              </a:r>
              <a:r>
                <a:rPr kumimoji="1" lang="ja-JP" altLang="en-US" sz="1100"/>
                <a:t>を掛けるが、下の計算式には</a:t>
              </a:r>
              <a:r>
                <a:rPr kumimoji="1" lang="en-US" altLang="ja-JP" sz="1100" b="0" i="0">
                  <a:latin typeface="Cambria Math" panose="02040503050406030204" pitchFamily="18" charset="0"/>
                </a:rPr>
                <a:t>10^(−9)</a:t>
              </a:r>
              <a:r>
                <a:rPr kumimoji="1" lang="ja-JP" altLang="en-US" sz="1100" b="0" i="0">
                  <a:latin typeface="Cambria Math" panose="02040503050406030204" pitchFamily="18" charset="0"/>
                </a:rPr>
                <a:t> を既に</a:t>
              </a:r>
              <a:r>
                <a:rPr kumimoji="1" lang="ja-JP" altLang="en-US" sz="1100"/>
                <a:t>式に入れてあるので、グラフの近似式に出てきた数字を入れて</a:t>
              </a:r>
            </a:p>
          </xdr:txBody>
        </xdr:sp>
      </mc:Fallback>
    </mc:AlternateContent>
    <xdr:clientData/>
  </xdr:twoCellAnchor>
  <xdr:twoCellAnchor>
    <xdr:from>
      <xdr:col>25</xdr:col>
      <xdr:colOff>6106</xdr:colOff>
      <xdr:row>29</xdr:row>
      <xdr:rowOff>134326</xdr:rowOff>
    </xdr:from>
    <xdr:to>
      <xdr:col>28</xdr:col>
      <xdr:colOff>626871</xdr:colOff>
      <xdr:row>31</xdr:row>
      <xdr:rowOff>44260</xdr:rowOff>
    </xdr:to>
    <mc:AlternateContent xmlns:mc="http://schemas.openxmlformats.org/markup-compatibility/2006" xmlns:a14="http://schemas.microsoft.com/office/drawing/2010/main">
      <mc:Choice Requires="a14">
        <xdr:sp macro="" textlink="">
          <xdr:nvSpPr>
            <xdr:cNvPr id="20" name="テキスト ボックス 19">
              <a:extLst>
                <a:ext uri="{FF2B5EF4-FFF2-40B4-BE49-F238E27FC236}">
                  <a16:creationId xmlns:a16="http://schemas.microsoft.com/office/drawing/2014/main" id="{D05B68D0-EAC8-4BD3-9CE4-D6F9963CA3C2}"/>
                </a:ext>
              </a:extLst>
            </xdr:cNvPr>
            <xdr:cNvSpPr txBox="1"/>
          </xdr:nvSpPr>
          <xdr:spPr>
            <a:xfrm>
              <a:off x="22951831" y="6763726"/>
              <a:ext cx="2678165" cy="357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←ここで求められる</a:t>
              </a:r>
              <a14:m>
                <m:oMath xmlns:m="http://schemas.openxmlformats.org/officeDocument/2006/math">
                  <m:r>
                    <a:rPr kumimoji="1" lang="en-US" altLang="ja-JP" sz="1100" b="0" i="0">
                      <a:latin typeface="Cambria Math" panose="02040503050406030204" pitchFamily="18" charset="0"/>
                    </a:rPr>
                    <m:t> </m:t>
                  </m:r>
                  <m:r>
                    <a:rPr kumimoji="1" lang="en-US" altLang="ja-JP" sz="1100" b="0" i="1">
                      <a:latin typeface="Cambria Math" panose="02040503050406030204" pitchFamily="18" charset="0"/>
                    </a:rPr>
                    <m:t>𝑡</m:t>
                  </m:r>
                  <m:r>
                    <a:rPr kumimoji="1" lang="en-US" altLang="ja-JP" sz="1100" b="0" i="1">
                      <a:latin typeface="Cambria Math" panose="02040503050406030204" pitchFamily="18" charset="0"/>
                    </a:rPr>
                    <m:t> </m:t>
                  </m:r>
                </m:oMath>
              </a14:m>
              <a:r>
                <a:rPr kumimoji="1" lang="ja-JP" altLang="en-US" sz="1100"/>
                <a:t>は計算値を示す。</a:t>
              </a:r>
            </a:p>
          </xdr:txBody>
        </xdr:sp>
      </mc:Choice>
      <mc:Fallback xmlns="">
        <xdr:sp macro="" textlink="">
          <xdr:nvSpPr>
            <xdr:cNvPr id="20" name="テキスト ボックス 19">
              <a:extLst>
                <a:ext uri="{FF2B5EF4-FFF2-40B4-BE49-F238E27FC236}">
                  <a16:creationId xmlns:a16="http://schemas.microsoft.com/office/drawing/2014/main" id="{D05B68D0-EAC8-4BD3-9CE4-D6F9963CA3C2}"/>
                </a:ext>
              </a:extLst>
            </xdr:cNvPr>
            <xdr:cNvSpPr txBox="1"/>
          </xdr:nvSpPr>
          <xdr:spPr>
            <a:xfrm>
              <a:off x="22951831" y="6763726"/>
              <a:ext cx="2678165" cy="357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←ここで求められる</a:t>
              </a:r>
              <a:r>
                <a:rPr kumimoji="1" lang="en-US" altLang="ja-JP" sz="1100" b="0" i="0">
                  <a:latin typeface="Cambria Math" panose="02040503050406030204" pitchFamily="18" charset="0"/>
                </a:rPr>
                <a:t> 𝑡 </a:t>
              </a:r>
              <a:r>
                <a:rPr kumimoji="1" lang="ja-JP" altLang="en-US" sz="1100"/>
                <a:t>は計算値を示す。</a:t>
              </a:r>
            </a:p>
          </xdr:txBody>
        </xdr:sp>
      </mc:Fallback>
    </mc:AlternateContent>
    <xdr:clientData/>
  </xdr:twoCellAnchor>
  <xdr:twoCellAnchor>
    <xdr:from>
      <xdr:col>9</xdr:col>
      <xdr:colOff>203343</xdr:colOff>
      <xdr:row>39</xdr:row>
      <xdr:rowOff>144480</xdr:rowOff>
    </xdr:from>
    <xdr:to>
      <xdr:col>19</xdr:col>
      <xdr:colOff>385281</xdr:colOff>
      <xdr:row>52</xdr:row>
      <xdr:rowOff>197991</xdr:rowOff>
    </xdr:to>
    <xdr:sp macro="" textlink="">
      <xdr:nvSpPr>
        <xdr:cNvPr id="21" name="正方形/長方形 20">
          <a:extLst>
            <a:ext uri="{FF2B5EF4-FFF2-40B4-BE49-F238E27FC236}">
              <a16:creationId xmlns:a16="http://schemas.microsoft.com/office/drawing/2014/main" id="{CD3857E3-47E9-4E37-8592-B3C91575BAB3}"/>
            </a:ext>
          </a:extLst>
        </xdr:cNvPr>
        <xdr:cNvSpPr/>
      </xdr:nvSpPr>
      <xdr:spPr>
        <a:xfrm>
          <a:off x="10961831" y="9031305"/>
          <a:ext cx="7039938" cy="318723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481601</xdr:colOff>
      <xdr:row>38</xdr:row>
      <xdr:rowOff>165884</xdr:rowOff>
    </xdr:from>
    <xdr:to>
      <xdr:col>18</xdr:col>
      <xdr:colOff>155182</xdr:colOff>
      <xdr:row>40</xdr:row>
      <xdr:rowOff>101670</xdr:rowOff>
    </xdr:to>
    <xdr:sp macro="" textlink="">
      <xdr:nvSpPr>
        <xdr:cNvPr id="22" name="テキスト ボックス 21">
          <a:extLst>
            <a:ext uri="{FF2B5EF4-FFF2-40B4-BE49-F238E27FC236}">
              <a16:creationId xmlns:a16="http://schemas.microsoft.com/office/drawing/2014/main" id="{0FC069E6-F752-4D79-9719-5EA91B04B719}"/>
            </a:ext>
          </a:extLst>
        </xdr:cNvPr>
        <xdr:cNvSpPr txBox="1"/>
      </xdr:nvSpPr>
      <xdr:spPr>
        <a:xfrm>
          <a:off x="11925889" y="8828872"/>
          <a:ext cx="5159981" cy="383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右の測定器を使った場合の装置のフォルダ長さ</a:t>
          </a:r>
          <a:r>
            <a:rPr kumimoji="1" lang="en-US" altLang="ja-JP" sz="1400"/>
            <a:t>(LETUS</a:t>
          </a:r>
          <a:r>
            <a:rPr kumimoji="1" lang="ja-JP" altLang="en-US" sz="1400"/>
            <a:t>表</a:t>
          </a:r>
          <a:r>
            <a:rPr kumimoji="1" lang="en-US" altLang="ja-JP" sz="1400"/>
            <a:t>) [mm]</a:t>
          </a:r>
        </a:p>
        <a:p>
          <a:endParaRPr kumimoji="1" lang="en-US" altLang="ja-JP" sz="1400"/>
        </a:p>
      </xdr:txBody>
    </xdr:sp>
    <xdr:clientData/>
  </xdr:twoCellAnchor>
  <xdr:twoCellAnchor>
    <xdr:from>
      <xdr:col>18</xdr:col>
      <xdr:colOff>210800</xdr:colOff>
      <xdr:row>51</xdr:row>
      <xdr:rowOff>54651</xdr:rowOff>
    </xdr:from>
    <xdr:to>
      <xdr:col>19</xdr:col>
      <xdr:colOff>374754</xdr:colOff>
      <xdr:row>57</xdr:row>
      <xdr:rowOff>46844</xdr:rowOff>
    </xdr:to>
    <xdr:cxnSp macro="">
      <xdr:nvCxnSpPr>
        <xdr:cNvPr id="23" name="直線矢印コネクタ 22">
          <a:extLst>
            <a:ext uri="{FF2B5EF4-FFF2-40B4-BE49-F238E27FC236}">
              <a16:creationId xmlns:a16="http://schemas.microsoft.com/office/drawing/2014/main" id="{34633E2C-AD78-4278-84F2-106EBCE63B39}"/>
            </a:ext>
          </a:extLst>
        </xdr:cNvPr>
        <xdr:cNvCxnSpPr/>
      </xdr:nvCxnSpPr>
      <xdr:spPr>
        <a:xfrm flipH="1" flipV="1">
          <a:off x="17141488" y="11846601"/>
          <a:ext cx="849754" cy="133998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202992</xdr:colOff>
      <xdr:row>57</xdr:row>
      <xdr:rowOff>23422</xdr:rowOff>
    </xdr:from>
    <xdr:to>
      <xdr:col>22</xdr:col>
      <xdr:colOff>429405</xdr:colOff>
      <xdr:row>59</xdr:row>
      <xdr:rowOff>210799</xdr:rowOff>
    </xdr:to>
    <xdr:sp macro="" textlink="">
      <xdr:nvSpPr>
        <xdr:cNvPr id="24" name="テキスト ボックス 23">
          <a:extLst>
            <a:ext uri="{FF2B5EF4-FFF2-40B4-BE49-F238E27FC236}">
              <a16:creationId xmlns:a16="http://schemas.microsoft.com/office/drawing/2014/main" id="{3A947F7B-A895-46A0-AD46-BDCB60F05411}"/>
            </a:ext>
          </a:extLst>
        </xdr:cNvPr>
        <xdr:cNvSpPr txBox="1"/>
      </xdr:nvSpPr>
      <xdr:spPr>
        <a:xfrm>
          <a:off x="17133680" y="13163160"/>
          <a:ext cx="3664938" cy="6350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t>測定しないとは思っていなかったから変な位置にあるけど、気にしないで</a:t>
          </a:r>
        </a:p>
      </xdr:txBody>
    </xdr:sp>
    <xdr:clientData/>
  </xdr:twoCellAnchor>
  <xdr:twoCellAnchor>
    <xdr:from>
      <xdr:col>6</xdr:col>
      <xdr:colOff>1222539</xdr:colOff>
      <xdr:row>0</xdr:row>
      <xdr:rowOff>68737</xdr:rowOff>
    </xdr:from>
    <xdr:to>
      <xdr:col>11</xdr:col>
      <xdr:colOff>191481</xdr:colOff>
      <xdr:row>2</xdr:row>
      <xdr:rowOff>181662</xdr:rowOff>
    </xdr:to>
    <xdr:sp macro="" textlink="">
      <xdr:nvSpPr>
        <xdr:cNvPr id="25" name="テキスト ボックス 24">
          <a:extLst>
            <a:ext uri="{FF2B5EF4-FFF2-40B4-BE49-F238E27FC236}">
              <a16:creationId xmlns:a16="http://schemas.microsoft.com/office/drawing/2014/main" id="{7062DB3D-2DF4-4148-BF59-56FA2B3A1F1A}"/>
            </a:ext>
          </a:extLst>
        </xdr:cNvPr>
        <xdr:cNvSpPr txBox="1"/>
      </xdr:nvSpPr>
      <xdr:spPr>
        <a:xfrm>
          <a:off x="8004339" y="68737"/>
          <a:ext cx="4317230" cy="56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試料からフォルダの下端までの長さを</a:t>
          </a:r>
          <a:r>
            <a:rPr kumimoji="1" lang="en-US" altLang="ja-JP" sz="1100" i="1"/>
            <a:t>h</a:t>
          </a:r>
          <a:r>
            <a:rPr kumimoji="1" lang="en-US" altLang="ja-JP" sz="1100" i="0" baseline="-25000"/>
            <a:t>0</a:t>
          </a:r>
          <a:r>
            <a:rPr kumimoji="1" lang="ja-JP" altLang="en-US" sz="1100"/>
            <a:t>として計算を組んだので、もし違ったら変えるか、聞いて下さい。</a:t>
          </a:r>
        </a:p>
      </xdr:txBody>
    </xdr:sp>
    <xdr:clientData/>
  </xdr:twoCellAnchor>
  <xdr:twoCellAnchor>
    <xdr:from>
      <xdr:col>0</xdr:col>
      <xdr:colOff>492303</xdr:colOff>
      <xdr:row>0</xdr:row>
      <xdr:rowOff>101671</xdr:rowOff>
    </xdr:from>
    <xdr:to>
      <xdr:col>2</xdr:col>
      <xdr:colOff>491634</xdr:colOff>
      <xdr:row>1</xdr:row>
      <xdr:rowOff>216252</xdr:rowOff>
    </xdr:to>
    <xdr:sp macro="" textlink="">
      <xdr:nvSpPr>
        <xdr:cNvPr id="28" name="テキスト ボックス 27">
          <a:extLst>
            <a:ext uri="{FF2B5EF4-FFF2-40B4-BE49-F238E27FC236}">
              <a16:creationId xmlns:a16="http://schemas.microsoft.com/office/drawing/2014/main" id="{5825BD74-A6DD-4549-A2F6-D124FF118E4E}"/>
            </a:ext>
          </a:extLst>
        </xdr:cNvPr>
        <xdr:cNvSpPr txBox="1"/>
      </xdr:nvSpPr>
      <xdr:spPr>
        <a:xfrm>
          <a:off x="492303" y="101671"/>
          <a:ext cx="1369219" cy="3393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右の測定器用</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DBE0C-80E8-42EB-AB22-9233F4DF5CD6}">
  <dimension ref="B3:X52"/>
  <sheetViews>
    <sheetView topLeftCell="A7" zoomScale="80" zoomScaleNormal="68" workbookViewId="0">
      <selection activeCell="J26" sqref="J26"/>
    </sheetView>
  </sheetViews>
  <sheetFormatPr defaultRowHeight="17.649999999999999" x14ac:dyDescent="0.7"/>
  <cols>
    <col min="3" max="3" width="15.0625" customWidth="1"/>
    <col min="4" max="4" width="17.8125" customWidth="1"/>
    <col min="5" max="5" width="19.5" customWidth="1"/>
    <col min="6" max="6" width="18.625" customWidth="1"/>
    <col min="7" max="7" width="23.8125" customWidth="1"/>
    <col min="8" max="8" width="19.375" customWidth="1"/>
    <col min="22" max="22" width="18.125" customWidth="1"/>
    <col min="23" max="23" width="12.1875" customWidth="1"/>
    <col min="24" max="24" width="12.625" customWidth="1"/>
  </cols>
  <sheetData>
    <row r="3" spans="2:21" ht="18" thickBot="1" x14ac:dyDescent="0.75">
      <c r="C3" s="1" t="s">
        <v>0</v>
      </c>
      <c r="D3" s="1"/>
      <c r="E3" s="1"/>
    </row>
    <row r="4" spans="2:21" ht="19.5" thickBot="1" x14ac:dyDescent="0.75">
      <c r="C4" s="5" t="s">
        <v>1</v>
      </c>
      <c r="D4" s="5" t="s">
        <v>2</v>
      </c>
      <c r="E4" s="6" t="s">
        <v>3</v>
      </c>
      <c r="F4" s="5" t="s">
        <v>14</v>
      </c>
      <c r="G4" s="5" t="s">
        <v>54</v>
      </c>
    </row>
    <row r="5" spans="2:21" ht="18" thickBot="1" x14ac:dyDescent="0.75">
      <c r="C5" s="4"/>
      <c r="D5" s="4"/>
      <c r="E5" s="7">
        <f>C5-D5</f>
        <v>0</v>
      </c>
      <c r="F5" s="11">
        <f>E5*10^-3</f>
        <v>0</v>
      </c>
      <c r="G5" s="11"/>
    </row>
    <row r="8" spans="2:21" x14ac:dyDescent="0.7">
      <c r="C8">
        <v>144.99</v>
      </c>
    </row>
    <row r="9" spans="2:21" ht="18" thickBot="1" x14ac:dyDescent="0.75">
      <c r="C9" s="1" t="s">
        <v>9</v>
      </c>
      <c r="D9" s="1"/>
      <c r="E9" s="1"/>
      <c r="F9" s="1"/>
      <c r="G9" s="1"/>
      <c r="H9" s="1"/>
    </row>
    <row r="10" spans="2:21" ht="19.5" thickBot="1" x14ac:dyDescent="0.75">
      <c r="B10" s="8"/>
      <c r="C10" s="2" t="s">
        <v>4</v>
      </c>
      <c r="D10" s="2" t="s">
        <v>5</v>
      </c>
      <c r="E10" s="2" t="s">
        <v>6</v>
      </c>
      <c r="F10" s="2" t="s">
        <v>7</v>
      </c>
      <c r="G10" s="2" t="s">
        <v>8</v>
      </c>
      <c r="H10" s="2" t="s">
        <v>10</v>
      </c>
    </row>
    <row r="11" spans="2:21" ht="18" thickBot="1" x14ac:dyDescent="0.75">
      <c r="B11" s="9">
        <v>1</v>
      </c>
      <c r="C11" s="9">
        <f>(Q42+S42)/2+ $Q$51/2</f>
        <v>35.549999999999997</v>
      </c>
      <c r="D11" s="9">
        <f>$G$5+SUM($L$42:$L$51)+SUM($N$42:$N$50)-SUM($L$42:L43)-SUM($N$42:N43)</f>
        <v>144.99</v>
      </c>
      <c r="E11" s="9">
        <f>SQRT(C11^2+D11^2)</f>
        <v>149.28463618202645</v>
      </c>
      <c r="F11" s="9">
        <f>E11/1000</f>
        <v>0.14928463618202645</v>
      </c>
      <c r="G11" s="9">
        <f>D11/E11</f>
        <v>0.9712318943739805</v>
      </c>
      <c r="H11" s="9">
        <f>G11/F11^2</f>
        <v>43.580550081645804</v>
      </c>
      <c r="U11" s="11" t="s">
        <v>13</v>
      </c>
    </row>
    <row r="12" spans="2:21" ht="18" thickBot="1" x14ac:dyDescent="0.75">
      <c r="B12" s="9">
        <v>2</v>
      </c>
      <c r="C12" s="9">
        <f t="shared" ref="C12:C18" si="0">(Q43+S43)/2+ $Q$51/2</f>
        <v>34.825000000000003</v>
      </c>
      <c r="D12" s="9">
        <f>$G$5+SUM($L$42:$L$51)+SUM($N$42:$N$50)-SUM($L$42:L44)-SUM($N$42:N44)</f>
        <v>123.39000000000001</v>
      </c>
      <c r="E12" s="9">
        <f t="shared" ref="E12:E17" si="1">SQRT(C12^2+D12^2)</f>
        <v>128.21026762705085</v>
      </c>
      <c r="F12" s="9">
        <f>E12/1000</f>
        <v>0.12821026762705084</v>
      </c>
      <c r="G12" s="9">
        <f>D12/E12</f>
        <v>0.96240341966157927</v>
      </c>
      <c r="H12" s="9">
        <f t="shared" ref="H12:H18" si="2">G12/F12^2</f>
        <v>58.54792987889978</v>
      </c>
      <c r="U12" s="4"/>
    </row>
    <row r="13" spans="2:21" x14ac:dyDescent="0.7">
      <c r="B13" s="9">
        <v>3</v>
      </c>
      <c r="C13" s="9">
        <f t="shared" si="0"/>
        <v>34.774999999999999</v>
      </c>
      <c r="D13" s="9">
        <f>$G$5+SUM($L$42:$L$51)+SUM($N$42:$N$50)-SUM($L$42:L45)-SUM($N$42:N45)</f>
        <v>101.81</v>
      </c>
      <c r="E13" s="9">
        <f t="shared" si="1"/>
        <v>107.58520681301867</v>
      </c>
      <c r="F13" s="9">
        <f t="shared" ref="F13:F18" si="3">E13/1000</f>
        <v>0.10758520681301867</v>
      </c>
      <c r="G13" s="9">
        <f t="shared" ref="G13:G18" si="4">D13/E13</f>
        <v>0.94631969409088101</v>
      </c>
      <c r="H13" s="9">
        <f t="shared" si="2"/>
        <v>81.758470877550053</v>
      </c>
    </row>
    <row r="14" spans="2:21" x14ac:dyDescent="0.7">
      <c r="B14" s="9">
        <v>4</v>
      </c>
      <c r="C14" s="9">
        <f>(Q45+S45)/2+ $Q$51/2</f>
        <v>34.700000000000003</v>
      </c>
      <c r="D14" s="9">
        <f>$G$5+SUM($L$42:$L$51)+SUM($N$42:$N$50)-SUM($L$42:L46)-SUM($N$42:N46)</f>
        <v>80.28</v>
      </c>
      <c r="E14" s="9">
        <f t="shared" si="1"/>
        <v>87.458380959173951</v>
      </c>
      <c r="F14" s="9">
        <f t="shared" si="3"/>
        <v>8.7458380959173951E-2</v>
      </c>
      <c r="G14" s="9">
        <f t="shared" si="4"/>
        <v>0.91792232053180978</v>
      </c>
      <c r="H14" s="9">
        <f t="shared" si="2"/>
        <v>120.00602859488995</v>
      </c>
    </row>
    <row r="15" spans="2:21" x14ac:dyDescent="0.7">
      <c r="B15" s="9">
        <v>5</v>
      </c>
      <c r="C15" s="9">
        <f t="shared" si="0"/>
        <v>24.9</v>
      </c>
      <c r="D15" s="9">
        <f>$G$5+SUM($L$42:$L$51)+SUM($N$42:$N$50)-SUM($L$42:L47)-SUM($N$42:N47)</f>
        <v>58.750000000000007</v>
      </c>
      <c r="E15" s="9">
        <f t="shared" si="1"/>
        <v>63.808874774595431</v>
      </c>
      <c r="F15" s="9">
        <f t="shared" si="3"/>
        <v>6.3808874774595431E-2</v>
      </c>
      <c r="G15" s="9">
        <f t="shared" si="4"/>
        <v>0.92071832025770906</v>
      </c>
      <c r="H15" s="9">
        <f t="shared" si="2"/>
        <v>226.13334780547535</v>
      </c>
    </row>
    <row r="16" spans="2:21" x14ac:dyDescent="0.7">
      <c r="B16" s="9">
        <v>6</v>
      </c>
      <c r="C16" s="9">
        <f t="shared" si="0"/>
        <v>24.975000000000001</v>
      </c>
      <c r="D16" s="9">
        <f>$G$5+SUM($L$42:$L$51)+SUM($N$42:$N$50)-SUM($L$42:L48)-SUM($N$42:N48)</f>
        <v>37.190000000000005</v>
      </c>
      <c r="E16" s="9">
        <f t="shared" si="1"/>
        <v>44.797842861012853</v>
      </c>
      <c r="F16" s="9">
        <f t="shared" si="3"/>
        <v>4.4797842861012856E-2</v>
      </c>
      <c r="G16" s="9">
        <f t="shared" si="4"/>
        <v>0.83017390179664474</v>
      </c>
      <c r="H16" s="9">
        <f t="shared" si="2"/>
        <v>413.67080577448905</v>
      </c>
    </row>
    <row r="17" spans="2:24" ht="18" thickBot="1" x14ac:dyDescent="0.75">
      <c r="B17" s="9">
        <v>7</v>
      </c>
      <c r="C17" s="9">
        <f t="shared" si="0"/>
        <v>25.35</v>
      </c>
      <c r="D17" s="9">
        <f>$G$5+SUM($L$42:$L$51)+SUM($N$42:$N$50)-SUM($L$42:L49)-SUM($N$42:N49)</f>
        <v>15.569999999999997</v>
      </c>
      <c r="E17" s="9">
        <f t="shared" si="1"/>
        <v>29.749746217404947</v>
      </c>
      <c r="F17" s="9">
        <f t="shared" si="3"/>
        <v>2.9749746217404949E-2</v>
      </c>
      <c r="G17" s="9">
        <f t="shared" si="4"/>
        <v>0.52336580911372088</v>
      </c>
      <c r="H17" s="9">
        <f t="shared" si="2"/>
        <v>591.34212372548734</v>
      </c>
    </row>
    <row r="18" spans="2:24" ht="19.5" thickBot="1" x14ac:dyDescent="0.75">
      <c r="B18" s="3">
        <v>8</v>
      </c>
      <c r="C18" s="3">
        <f t="shared" si="0"/>
        <v>25.274999999999999</v>
      </c>
      <c r="D18" s="3">
        <f>$G$5+SUM($L$42:$L$51)+SUM($N$42:$N$50)-SUM($L$42:L50)-SUM($N$42:N50)</f>
        <v>4.0099999999999962</v>
      </c>
      <c r="E18" s="3">
        <f>SQRT(C18^2+D18^2)</f>
        <v>25.591125903328287</v>
      </c>
      <c r="F18" s="3">
        <f t="shared" si="3"/>
        <v>2.5591125903328286E-2</v>
      </c>
      <c r="G18" s="3">
        <f t="shared" si="4"/>
        <v>0.15669494242449375</v>
      </c>
      <c r="H18" s="3">
        <f t="shared" si="2"/>
        <v>239.26335721755026</v>
      </c>
      <c r="V18" s="5" t="s">
        <v>15</v>
      </c>
    </row>
    <row r="19" spans="2:24" ht="18" thickBot="1" x14ac:dyDescent="0.75">
      <c r="V19" s="4">
        <v>2700</v>
      </c>
    </row>
    <row r="21" spans="2:24" ht="18" thickBot="1" x14ac:dyDescent="0.75"/>
    <row r="22" spans="2:24" ht="18" thickBot="1" x14ac:dyDescent="0.75">
      <c r="V22" s="5" t="s">
        <v>16</v>
      </c>
    </row>
    <row r="23" spans="2:24" ht="18" thickBot="1" x14ac:dyDescent="0.75">
      <c r="V23" s="4" t="e">
        <f>(4*PI()*2700*(U12*10^-9))/F5</f>
        <v>#DIV/0!</v>
      </c>
    </row>
    <row r="25" spans="2:24" ht="18" thickBot="1" x14ac:dyDescent="0.75"/>
    <row r="26" spans="2:24" ht="18" thickBot="1" x14ac:dyDescent="0.75">
      <c r="B26" s="11"/>
      <c r="C26" s="11"/>
      <c r="D26" s="11"/>
      <c r="E26" s="13" t="s">
        <v>11</v>
      </c>
    </row>
    <row r="27" spans="2:24" x14ac:dyDescent="0.7">
      <c r="B27" s="10">
        <v>1</v>
      </c>
      <c r="C27" s="10"/>
      <c r="D27" s="10"/>
      <c r="E27" s="10" t="e">
        <f>(D27/C27)*($H$36/2)</f>
        <v>#DIV/0!</v>
      </c>
    </row>
    <row r="28" spans="2:24" ht="18" thickBot="1" x14ac:dyDescent="0.75">
      <c r="B28" s="9">
        <v>2</v>
      </c>
      <c r="C28" s="9"/>
      <c r="D28" s="9"/>
      <c r="E28" s="10" t="e">
        <f t="shared" ref="E28:E34" si="5">(D28/C28)*($H$36/2)</f>
        <v>#DIV/0!</v>
      </c>
    </row>
    <row r="29" spans="2:24" ht="18" thickBot="1" x14ac:dyDescent="0.75">
      <c r="B29" s="9">
        <v>3</v>
      </c>
      <c r="C29" s="9"/>
      <c r="D29" s="9"/>
      <c r="E29" s="10" t="e">
        <f t="shared" si="5"/>
        <v>#DIV/0!</v>
      </c>
      <c r="W29" s="11"/>
      <c r="X29" s="13" t="s">
        <v>17</v>
      </c>
    </row>
    <row r="30" spans="2:24" x14ac:dyDescent="0.7">
      <c r="B30" s="9">
        <v>4</v>
      </c>
      <c r="C30" s="9"/>
      <c r="D30" s="9"/>
      <c r="E30" s="10" t="e">
        <f t="shared" si="5"/>
        <v>#DIV/0!</v>
      </c>
      <c r="W30" s="10">
        <v>1</v>
      </c>
      <c r="X30" s="10" t="e">
        <f>($V$23*$F$5*H11)/(4*PI()*$V$19)*10^9</f>
        <v>#DIV/0!</v>
      </c>
    </row>
    <row r="31" spans="2:24" x14ac:dyDescent="0.7">
      <c r="B31" s="9">
        <v>5</v>
      </c>
      <c r="C31" s="9"/>
      <c r="D31" s="9"/>
      <c r="E31" s="10" t="e">
        <f t="shared" si="5"/>
        <v>#DIV/0!</v>
      </c>
      <c r="W31" s="9">
        <v>2</v>
      </c>
      <c r="X31" s="9" t="e">
        <f>($V$23*$F$5*H12)/(4*PI()*$V$19)*10^9</f>
        <v>#DIV/0!</v>
      </c>
    </row>
    <row r="32" spans="2:24" x14ac:dyDescent="0.7">
      <c r="B32" s="9">
        <v>6</v>
      </c>
      <c r="C32" s="9"/>
      <c r="D32" s="9"/>
      <c r="E32" s="10" t="e">
        <f t="shared" si="5"/>
        <v>#DIV/0!</v>
      </c>
      <c r="W32" s="9">
        <v>3</v>
      </c>
      <c r="X32" s="9" t="e">
        <f>($V$23*$F$5*H13)/(4*PI()*$V$19)*10^9</f>
        <v>#DIV/0!</v>
      </c>
    </row>
    <row r="33" spans="2:24" x14ac:dyDescent="0.7">
      <c r="B33" s="9">
        <v>7</v>
      </c>
      <c r="C33" s="9"/>
      <c r="D33" s="9"/>
      <c r="E33" s="10" t="e">
        <f>(D33/C33)*($H$36/2)</f>
        <v>#DIV/0!</v>
      </c>
      <c r="W33" s="9">
        <v>4</v>
      </c>
      <c r="X33" s="9" t="e">
        <f t="shared" ref="X33:X37" si="6">($V$23*$F$5*H14)/(4*PI()*$V$19)*10^9</f>
        <v>#DIV/0!</v>
      </c>
    </row>
    <row r="34" spans="2:24" ht="18" thickBot="1" x14ac:dyDescent="0.75">
      <c r="B34" s="3">
        <v>8</v>
      </c>
      <c r="C34" s="3"/>
      <c r="D34" s="3"/>
      <c r="E34" s="4" t="e">
        <f t="shared" si="5"/>
        <v>#DIV/0!</v>
      </c>
      <c r="W34" s="9">
        <v>5</v>
      </c>
      <c r="X34" s="9" t="e">
        <f t="shared" si="6"/>
        <v>#DIV/0!</v>
      </c>
    </row>
    <row r="35" spans="2:24" ht="18" thickBot="1" x14ac:dyDescent="0.75">
      <c r="H35" s="5" t="s">
        <v>12</v>
      </c>
      <c r="W35" s="9">
        <v>6</v>
      </c>
      <c r="X35" s="9" t="e">
        <f t="shared" si="6"/>
        <v>#DIV/0!</v>
      </c>
    </row>
    <row r="36" spans="2:24" ht="18" thickBot="1" x14ac:dyDescent="0.75">
      <c r="H36" s="12">
        <v>546.1</v>
      </c>
      <c r="W36" s="9">
        <v>7</v>
      </c>
      <c r="X36" s="9" t="e">
        <f t="shared" si="6"/>
        <v>#DIV/0!</v>
      </c>
    </row>
    <row r="37" spans="2:24" ht="18" thickBot="1" x14ac:dyDescent="0.75">
      <c r="W37" s="3">
        <v>8</v>
      </c>
      <c r="X37" s="3" t="e">
        <f t="shared" si="6"/>
        <v>#DIV/0!</v>
      </c>
    </row>
    <row r="41" spans="2:24" ht="18" thickBot="1" x14ac:dyDescent="0.75"/>
    <row r="42" spans="2:24" ht="19.149999999999999" x14ac:dyDescent="0.7">
      <c r="K42" s="17" t="s">
        <v>18</v>
      </c>
      <c r="L42" s="14">
        <v>12.01</v>
      </c>
      <c r="M42" s="17" t="s">
        <v>28</v>
      </c>
      <c r="N42" s="14">
        <v>2.93</v>
      </c>
      <c r="P42" s="17" t="s">
        <v>38</v>
      </c>
      <c r="Q42" s="14">
        <v>39.450000000000003</v>
      </c>
      <c r="R42" s="17" t="s">
        <v>46</v>
      </c>
      <c r="S42" s="14">
        <v>19.399999999999999</v>
      </c>
    </row>
    <row r="43" spans="2:24" ht="19.5" thickBot="1" x14ac:dyDescent="0.75">
      <c r="K43" s="18" t="s">
        <v>19</v>
      </c>
      <c r="L43" s="15">
        <v>30.02</v>
      </c>
      <c r="M43" s="18" t="s">
        <v>29</v>
      </c>
      <c r="N43" s="15">
        <v>1.5</v>
      </c>
      <c r="P43" s="18" t="s">
        <v>39</v>
      </c>
      <c r="Q43" s="15">
        <v>38.35</v>
      </c>
      <c r="R43" s="18" t="s">
        <v>47</v>
      </c>
      <c r="S43" s="15">
        <v>19.05</v>
      </c>
    </row>
    <row r="44" spans="2:24" ht="19.5" thickBot="1" x14ac:dyDescent="0.75">
      <c r="B44" s="11"/>
      <c r="C44" s="11"/>
      <c r="D44" s="11"/>
      <c r="E44" s="13" t="s">
        <v>11</v>
      </c>
      <c r="K44" s="18" t="s">
        <v>20</v>
      </c>
      <c r="L44" s="15">
        <v>20.100000000000001</v>
      </c>
      <c r="M44" s="18" t="s">
        <v>30</v>
      </c>
      <c r="N44" s="15">
        <v>1.5</v>
      </c>
      <c r="P44" s="18" t="s">
        <v>40</v>
      </c>
      <c r="Q44" s="15">
        <v>38.25</v>
      </c>
      <c r="R44" s="18" t="s">
        <v>48</v>
      </c>
      <c r="S44" s="15">
        <v>19.05</v>
      </c>
    </row>
    <row r="45" spans="2:24" ht="19.149999999999999" x14ac:dyDescent="0.7">
      <c r="B45" s="10"/>
      <c r="C45" s="10"/>
      <c r="D45" s="10"/>
      <c r="E45" s="10" t="e">
        <f t="shared" ref="E45:E52" si="7">(D45/C45)*($H$36/2)</f>
        <v>#DIV/0!</v>
      </c>
      <c r="K45" s="18" t="s">
        <v>21</v>
      </c>
      <c r="L45" s="15">
        <v>20.079999999999998</v>
      </c>
      <c r="M45" s="18" t="s">
        <v>31</v>
      </c>
      <c r="N45" s="15">
        <v>1.5</v>
      </c>
      <c r="P45" s="18" t="s">
        <v>41</v>
      </c>
      <c r="Q45" s="15">
        <v>38.5</v>
      </c>
      <c r="R45" s="18" t="s">
        <v>49</v>
      </c>
      <c r="S45" s="15">
        <v>18.649999999999999</v>
      </c>
    </row>
    <row r="46" spans="2:24" ht="19.149999999999999" x14ac:dyDescent="0.7">
      <c r="B46" s="9"/>
      <c r="C46" s="9"/>
      <c r="D46" s="9"/>
      <c r="E46" s="10" t="e">
        <f t="shared" si="7"/>
        <v>#DIV/0!</v>
      </c>
      <c r="K46" s="18" t="s">
        <v>22</v>
      </c>
      <c r="L46" s="15">
        <v>20.03</v>
      </c>
      <c r="M46" s="18" t="s">
        <v>32</v>
      </c>
      <c r="N46" s="15">
        <v>1.5</v>
      </c>
      <c r="P46" s="18" t="s">
        <v>42</v>
      </c>
      <c r="Q46" s="15">
        <v>28.6</v>
      </c>
      <c r="R46" s="18" t="s">
        <v>50</v>
      </c>
      <c r="S46" s="15">
        <v>8.9499999999999993</v>
      </c>
    </row>
    <row r="47" spans="2:24" ht="19.149999999999999" x14ac:dyDescent="0.7">
      <c r="B47" s="9"/>
      <c r="C47" s="9"/>
      <c r="D47" s="9"/>
      <c r="E47" s="10" t="e">
        <f t="shared" si="7"/>
        <v>#DIV/0!</v>
      </c>
      <c r="K47" s="18" t="s">
        <v>23</v>
      </c>
      <c r="L47" s="15">
        <v>20.03</v>
      </c>
      <c r="M47" s="18" t="s">
        <v>33</v>
      </c>
      <c r="N47" s="15">
        <v>1.5</v>
      </c>
      <c r="P47" s="18" t="s">
        <v>43</v>
      </c>
      <c r="Q47" s="15">
        <v>28.85</v>
      </c>
      <c r="R47" s="18" t="s">
        <v>51</v>
      </c>
      <c r="S47" s="15">
        <v>8.85</v>
      </c>
    </row>
    <row r="48" spans="2:24" ht="19.149999999999999" x14ac:dyDescent="0.7">
      <c r="B48" s="9"/>
      <c r="C48" s="9"/>
      <c r="D48" s="9"/>
      <c r="E48" s="10" t="e">
        <f t="shared" si="7"/>
        <v>#DIV/0!</v>
      </c>
      <c r="K48" s="18" t="s">
        <v>24</v>
      </c>
      <c r="L48" s="15">
        <v>20.03</v>
      </c>
      <c r="M48" s="18" t="s">
        <v>34</v>
      </c>
      <c r="N48" s="15">
        <v>1.53</v>
      </c>
      <c r="P48" s="18" t="s">
        <v>44</v>
      </c>
      <c r="Q48" s="15">
        <v>29.1</v>
      </c>
      <c r="R48" s="18" t="s">
        <v>52</v>
      </c>
      <c r="S48" s="15">
        <v>9.35</v>
      </c>
    </row>
    <row r="49" spans="2:19" ht="19.5" thickBot="1" x14ac:dyDescent="0.75">
      <c r="B49" s="9"/>
      <c r="C49" s="9"/>
      <c r="D49" s="9"/>
      <c r="E49" s="10" t="e">
        <f>(D49/C49)*($H$36/2)</f>
        <v>#DIV/0!</v>
      </c>
      <c r="K49" s="18" t="s">
        <v>25</v>
      </c>
      <c r="L49" s="15">
        <v>20.02</v>
      </c>
      <c r="M49" s="18" t="s">
        <v>35</v>
      </c>
      <c r="N49" s="15">
        <v>1.6</v>
      </c>
      <c r="P49" s="19" t="s">
        <v>45</v>
      </c>
      <c r="Q49" s="16">
        <v>28.95</v>
      </c>
      <c r="R49" s="19" t="s">
        <v>53</v>
      </c>
      <c r="S49" s="16">
        <v>9.35</v>
      </c>
    </row>
    <row r="50" spans="2:19" ht="19.5" thickBot="1" x14ac:dyDescent="0.75">
      <c r="B50" s="9"/>
      <c r="C50" s="9"/>
      <c r="D50" s="9"/>
      <c r="E50" s="10" t="e">
        <f t="shared" si="7"/>
        <v>#DIV/0!</v>
      </c>
      <c r="K50" s="18" t="s">
        <v>26</v>
      </c>
      <c r="L50" s="15">
        <v>10.029999999999999</v>
      </c>
      <c r="M50" s="19" t="s">
        <v>36</v>
      </c>
      <c r="N50" s="16">
        <v>1.53</v>
      </c>
    </row>
    <row r="51" spans="2:19" ht="19.5" thickBot="1" x14ac:dyDescent="0.75">
      <c r="B51" s="9"/>
      <c r="C51" s="9"/>
      <c r="D51" s="9"/>
      <c r="E51" s="10" t="e">
        <f t="shared" si="7"/>
        <v>#DIV/0!</v>
      </c>
      <c r="K51" s="19" t="s">
        <v>27</v>
      </c>
      <c r="L51" s="16">
        <v>4.01</v>
      </c>
      <c r="P51" s="21" t="s">
        <v>37</v>
      </c>
      <c r="Q51" s="20">
        <v>12.25</v>
      </c>
    </row>
    <row r="52" spans="2:19" ht="18" thickBot="1" x14ac:dyDescent="0.75">
      <c r="B52" s="3"/>
      <c r="C52" s="3"/>
      <c r="D52" s="3"/>
      <c r="E52" s="4" t="e">
        <f t="shared" si="7"/>
        <v>#DIV/0!</v>
      </c>
    </row>
  </sheetData>
  <phoneticPr fontId="1"/>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02AE-7F7A-4DD8-85BB-BCC39B139500}">
  <dimension ref="B3:X52"/>
  <sheetViews>
    <sheetView tabSelected="1" topLeftCell="A18" zoomScale="67" workbookViewId="0">
      <selection activeCell="I34" sqref="I34"/>
    </sheetView>
  </sheetViews>
  <sheetFormatPr defaultRowHeight="17.649999999999999" x14ac:dyDescent="0.7"/>
  <cols>
    <col min="3" max="3" width="12.9375" customWidth="1"/>
    <col min="4" max="4" width="14.75" customWidth="1"/>
    <col min="5" max="5" width="20.125" customWidth="1"/>
    <col min="6" max="6" width="18.8125" customWidth="1"/>
    <col min="7" max="7" width="23.25" customWidth="1"/>
    <col min="8" max="8" width="19.875" customWidth="1"/>
    <col min="12" max="12" width="11.75" customWidth="1"/>
    <col min="14" max="14" width="12.25" customWidth="1"/>
    <col min="22" max="22" width="19.9375" customWidth="1"/>
  </cols>
  <sheetData>
    <row r="3" spans="2:21" ht="18" thickBot="1" x14ac:dyDescent="0.75">
      <c r="C3" s="1" t="s">
        <v>0</v>
      </c>
      <c r="D3" s="1"/>
      <c r="E3" s="1"/>
    </row>
    <row r="4" spans="2:21" ht="19.5" thickBot="1" x14ac:dyDescent="0.75">
      <c r="C4" s="5" t="s">
        <v>1</v>
      </c>
      <c r="D4" s="5" t="s">
        <v>2</v>
      </c>
      <c r="E4" s="6" t="s">
        <v>3</v>
      </c>
      <c r="F4" s="5" t="s">
        <v>14</v>
      </c>
      <c r="G4" s="5" t="s">
        <v>54</v>
      </c>
    </row>
    <row r="5" spans="2:21" ht="18" thickBot="1" x14ac:dyDescent="0.75">
      <c r="C5" s="4"/>
      <c r="D5" s="4"/>
      <c r="E5" s="7">
        <f>C5-D5</f>
        <v>0</v>
      </c>
      <c r="F5" s="11">
        <f>E5*10^-3</f>
        <v>0</v>
      </c>
      <c r="G5" s="11"/>
    </row>
    <row r="9" spans="2:21" ht="18" thickBot="1" x14ac:dyDescent="0.75">
      <c r="C9" s="1" t="s">
        <v>9</v>
      </c>
      <c r="D9" s="1"/>
      <c r="E9" s="1"/>
      <c r="F9" s="1"/>
      <c r="G9" s="1"/>
      <c r="H9" s="1"/>
    </row>
    <row r="10" spans="2:21" ht="19.5" thickBot="1" x14ac:dyDescent="0.75">
      <c r="B10" s="8"/>
      <c r="C10" s="2" t="s">
        <v>4</v>
      </c>
      <c r="D10" s="2" t="s">
        <v>5</v>
      </c>
      <c r="E10" s="2" t="s">
        <v>6</v>
      </c>
      <c r="F10" s="2" t="s">
        <v>7</v>
      </c>
      <c r="G10" s="2" t="s">
        <v>8</v>
      </c>
      <c r="H10" s="2" t="s">
        <v>10</v>
      </c>
    </row>
    <row r="11" spans="2:21" ht="18" thickBot="1" x14ac:dyDescent="0.75">
      <c r="B11" s="9">
        <v>1</v>
      </c>
      <c r="C11" s="9">
        <f>(Q42+S42)/2+ $Q$51/2</f>
        <v>40.524999999999999</v>
      </c>
      <c r="D11" s="9">
        <f>$G$5+SUM($L$42:$L$51)+SUM($N$42:$N$50)-SUM($L$42:L43)-SUM($N$42:N43)</f>
        <v>145.88</v>
      </c>
      <c r="E11" s="9">
        <f>SQRT(C11^2+D11^2)</f>
        <v>151.4042602604035</v>
      </c>
      <c r="F11" s="9">
        <f>E11/1000</f>
        <v>0.15140426026040352</v>
      </c>
      <c r="G11" s="9">
        <f>D11/E11</f>
        <v>0.963513178222976</v>
      </c>
      <c r="H11" s="9">
        <f>G11/F11^2</f>
        <v>42.032136680975533</v>
      </c>
      <c r="U11" s="11" t="s">
        <v>13</v>
      </c>
    </row>
    <row r="12" spans="2:21" ht="18" thickBot="1" x14ac:dyDescent="0.75">
      <c r="B12" s="9">
        <v>2</v>
      </c>
      <c r="C12" s="9">
        <f t="shared" ref="C12:C18" si="0">(Q43+S43)/2+ $Q$51/2</f>
        <v>40.524999999999999</v>
      </c>
      <c r="D12" s="9">
        <f>$G$5+SUM($L$42:$L$51)+SUM($N$42:$N$50)-SUM($L$42:L44)-SUM($N$42:N44)</f>
        <v>124.38</v>
      </c>
      <c r="E12" s="9">
        <f t="shared" ref="E12:E17" si="1">SQRT(C12^2+D12^2)</f>
        <v>130.81536616544707</v>
      </c>
      <c r="F12" s="9">
        <f>E12/1000</f>
        <v>0.13081536616544706</v>
      </c>
      <c r="G12" s="9">
        <f>D12/E12</f>
        <v>0.95080573212394615</v>
      </c>
      <c r="H12" s="9">
        <f t="shared" ref="H12:H18" si="2">G12/F12^2</f>
        <v>55.561539277640534</v>
      </c>
      <c r="U12" s="4"/>
    </row>
    <row r="13" spans="2:21" x14ac:dyDescent="0.7">
      <c r="B13" s="9">
        <v>3</v>
      </c>
      <c r="C13" s="9">
        <f t="shared" si="0"/>
        <v>40.524999999999999</v>
      </c>
      <c r="D13" s="9">
        <f>$G$5+SUM($L$42:$L$51)+SUM($N$42:$N$50)-SUM($L$42:L45)-SUM($N$42:N45)</f>
        <v>102.88</v>
      </c>
      <c r="E13" s="9">
        <f t="shared" si="1"/>
        <v>110.57382160800991</v>
      </c>
      <c r="F13" s="9">
        <f t="shared" ref="F13:F18" si="3">E13/1000</f>
        <v>0.11057382160800991</v>
      </c>
      <c r="G13" s="9">
        <f t="shared" ref="G13:G18" si="4">D13/E13</f>
        <v>0.93041913993635017</v>
      </c>
      <c r="H13" s="9">
        <f t="shared" si="2"/>
        <v>76.098132021809619</v>
      </c>
    </row>
    <row r="14" spans="2:21" x14ac:dyDescent="0.7">
      <c r="B14" s="9">
        <v>4</v>
      </c>
      <c r="C14" s="9">
        <f>(Q45+S45)/2+ $Q$51/2</f>
        <v>40.524999999999999</v>
      </c>
      <c r="D14" s="9">
        <f>$G$5+SUM($L$42:$L$51)+SUM($N$42:$N$50)-SUM($L$42:L46)-SUM($N$42:N46)</f>
        <v>81.38</v>
      </c>
      <c r="E14" s="9">
        <f t="shared" si="1"/>
        <v>90.911935547539628</v>
      </c>
      <c r="F14" s="9">
        <f t="shared" si="3"/>
        <v>9.0911935547539624E-2</v>
      </c>
      <c r="G14" s="9">
        <f t="shared" si="4"/>
        <v>0.8951519897785567</v>
      </c>
      <c r="H14" s="9">
        <f t="shared" si="2"/>
        <v>108.30661260776088</v>
      </c>
    </row>
    <row r="15" spans="2:21" x14ac:dyDescent="0.7">
      <c r="B15" s="9">
        <v>5</v>
      </c>
      <c r="C15" s="9">
        <f t="shared" si="0"/>
        <v>30.075000000000003</v>
      </c>
      <c r="D15" s="9">
        <f>$G$5+SUM($L$42:$L$51)+SUM($N$42:$N$50)-SUM($L$42:L47)-SUM($N$42:N47)</f>
        <v>59.879999999999995</v>
      </c>
      <c r="E15" s="9">
        <f t="shared" si="1"/>
        <v>67.008357874223421</v>
      </c>
      <c r="F15" s="9">
        <f t="shared" si="3"/>
        <v>6.700835787422342E-2</v>
      </c>
      <c r="G15" s="9">
        <f t="shared" si="4"/>
        <v>0.89361986921685865</v>
      </c>
      <c r="H15" s="9">
        <f t="shared" si="2"/>
        <v>199.0191496533233</v>
      </c>
    </row>
    <row r="16" spans="2:21" x14ac:dyDescent="0.7">
      <c r="B16" s="9">
        <v>6</v>
      </c>
      <c r="C16" s="9">
        <f t="shared" si="0"/>
        <v>30.075000000000003</v>
      </c>
      <c r="D16" s="9">
        <f>$G$5+SUM($L$42:$L$51)+SUM($N$42:$N$50)-SUM($L$42:L48)-SUM($N$42:N48)</f>
        <v>38.35</v>
      </c>
      <c r="E16" s="9">
        <f t="shared" si="1"/>
        <v>48.736312180960105</v>
      </c>
      <c r="F16" s="9">
        <f t="shared" si="3"/>
        <v>4.8736312180960105E-2</v>
      </c>
      <c r="G16" s="9">
        <f t="shared" si="4"/>
        <v>0.78688760564411886</v>
      </c>
      <c r="H16" s="9">
        <f t="shared" si="2"/>
        <v>331.28927590654843</v>
      </c>
    </row>
    <row r="17" spans="2:24" ht="18" thickBot="1" x14ac:dyDescent="0.75">
      <c r="B17" s="9">
        <v>7</v>
      </c>
      <c r="C17" s="9">
        <f t="shared" si="0"/>
        <v>30.075000000000003</v>
      </c>
      <c r="D17" s="9">
        <f>$G$5+SUM($L$42:$L$51)+SUM($N$42:$N$50)-SUM($L$42:L49)-SUM($N$42:N49)</f>
        <v>16.850000000000001</v>
      </c>
      <c r="E17" s="9">
        <f t="shared" si="1"/>
        <v>34.473585902832916</v>
      </c>
      <c r="F17" s="9">
        <f t="shared" si="3"/>
        <v>3.4473585902832914E-2</v>
      </c>
      <c r="G17" s="9">
        <f t="shared" si="4"/>
        <v>0.48878001979525226</v>
      </c>
      <c r="H17" s="9">
        <f t="shared" si="2"/>
        <v>411.28277723589906</v>
      </c>
    </row>
    <row r="18" spans="2:24" ht="19.5" thickBot="1" x14ac:dyDescent="0.75">
      <c r="B18" s="3">
        <v>8</v>
      </c>
      <c r="C18" s="3">
        <f t="shared" si="0"/>
        <v>30.075000000000003</v>
      </c>
      <c r="D18" s="3">
        <f>$G$5+SUM($L$42:$L$51)+SUM($N$42:$N$50)-SUM($L$42:L50)-SUM($N$42:N50)</f>
        <v>4.699999999999994</v>
      </c>
      <c r="E18" s="3">
        <f>SQRT(C18^2+D18^2)</f>
        <v>30.440033262136886</v>
      </c>
      <c r="F18" s="3">
        <f t="shared" si="3"/>
        <v>3.0440033262136887E-2</v>
      </c>
      <c r="G18" s="3">
        <f t="shared" si="4"/>
        <v>0.15440193377995193</v>
      </c>
      <c r="H18" s="3">
        <f t="shared" si="2"/>
        <v>166.63356658947308</v>
      </c>
      <c r="V18" s="5" t="s">
        <v>15</v>
      </c>
    </row>
    <row r="19" spans="2:24" ht="18" thickBot="1" x14ac:dyDescent="0.75">
      <c r="V19" s="4">
        <v>2700</v>
      </c>
    </row>
    <row r="21" spans="2:24" ht="18" thickBot="1" x14ac:dyDescent="0.75"/>
    <row r="22" spans="2:24" ht="18" thickBot="1" x14ac:dyDescent="0.75">
      <c r="V22" s="5" t="s">
        <v>16</v>
      </c>
    </row>
    <row r="23" spans="2:24" ht="18" thickBot="1" x14ac:dyDescent="0.75">
      <c r="V23" s="4" t="e">
        <f>(4*PI()*2700*(U12*10^-9))/F5</f>
        <v>#DIV/0!</v>
      </c>
    </row>
    <row r="25" spans="2:24" ht="18" thickBot="1" x14ac:dyDescent="0.75"/>
    <row r="26" spans="2:24" ht="18" thickBot="1" x14ac:dyDescent="0.75">
      <c r="B26" s="11"/>
      <c r="C26" s="11"/>
      <c r="D26" s="11"/>
      <c r="E26" s="13" t="s">
        <v>11</v>
      </c>
    </row>
    <row r="27" spans="2:24" x14ac:dyDescent="0.7">
      <c r="B27" s="10">
        <v>1</v>
      </c>
      <c r="C27" s="10"/>
      <c r="D27" s="10"/>
      <c r="E27" s="10" t="e">
        <f>(D27/C27)*($H$36/2)</f>
        <v>#DIV/0!</v>
      </c>
    </row>
    <row r="28" spans="2:24" ht="18" thickBot="1" x14ac:dyDescent="0.75">
      <c r="B28" s="9">
        <v>2</v>
      </c>
      <c r="C28" s="9"/>
      <c r="D28" s="9"/>
      <c r="E28" s="10" t="e">
        <f>(D28/C28)*($H$36/2)</f>
        <v>#DIV/0!</v>
      </c>
    </row>
    <row r="29" spans="2:24" ht="18" thickBot="1" x14ac:dyDescent="0.75">
      <c r="B29" s="9">
        <v>3</v>
      </c>
      <c r="C29" s="9"/>
      <c r="D29" s="9"/>
      <c r="E29" s="10" t="e">
        <f t="shared" ref="E28:E34" si="5">(D29/C29)*($H$36/2)</f>
        <v>#DIV/0!</v>
      </c>
      <c r="W29" s="11"/>
      <c r="X29" s="13" t="s">
        <v>17</v>
      </c>
    </row>
    <row r="30" spans="2:24" x14ac:dyDescent="0.7">
      <c r="B30" s="9">
        <v>4</v>
      </c>
      <c r="C30" s="9"/>
      <c r="D30" s="9"/>
      <c r="E30" s="10" t="e">
        <f t="shared" si="5"/>
        <v>#DIV/0!</v>
      </c>
      <c r="W30" s="10">
        <v>1</v>
      </c>
      <c r="X30" s="10" t="e">
        <f>($V$23*$F$5*H11)/(4*PI()*$V$19)*10^9</f>
        <v>#DIV/0!</v>
      </c>
    </row>
    <row r="31" spans="2:24" x14ac:dyDescent="0.7">
      <c r="B31" s="9">
        <v>5</v>
      </c>
      <c r="C31" s="9"/>
      <c r="D31" s="9"/>
      <c r="E31" s="10" t="e">
        <f t="shared" si="5"/>
        <v>#DIV/0!</v>
      </c>
      <c r="W31" s="9">
        <v>2</v>
      </c>
      <c r="X31" s="9" t="e">
        <f>($V$23*$F$5*H12)/(4*PI()*$V$19)*10^9</f>
        <v>#DIV/0!</v>
      </c>
    </row>
    <row r="32" spans="2:24" x14ac:dyDescent="0.7">
      <c r="B32" s="9">
        <v>6</v>
      </c>
      <c r="C32" s="9"/>
      <c r="D32" s="9"/>
      <c r="E32" s="10" t="e">
        <f t="shared" si="5"/>
        <v>#DIV/0!</v>
      </c>
      <c r="W32" s="9">
        <v>3</v>
      </c>
      <c r="X32" s="9" t="e">
        <f>($V$23*$F$5*H13)/(4*PI()*$V$19)*10^9</f>
        <v>#DIV/0!</v>
      </c>
    </row>
    <row r="33" spans="2:24" x14ac:dyDescent="0.7">
      <c r="B33" s="9">
        <v>7</v>
      </c>
      <c r="C33" s="9"/>
      <c r="D33" s="9"/>
      <c r="E33" s="10" t="e">
        <f t="shared" si="5"/>
        <v>#DIV/0!</v>
      </c>
      <c r="W33" s="9">
        <v>4</v>
      </c>
      <c r="X33" s="9" t="e">
        <f t="shared" ref="X33:X37" si="6">($V$23*$F$5*H14)/(4*PI()*$V$19)*10^9</f>
        <v>#DIV/0!</v>
      </c>
    </row>
    <row r="34" spans="2:24" ht="18" thickBot="1" x14ac:dyDescent="0.75">
      <c r="B34" s="3">
        <v>8</v>
      </c>
      <c r="C34" s="3"/>
      <c r="D34" s="3"/>
      <c r="E34" s="4" t="e">
        <f t="shared" si="5"/>
        <v>#DIV/0!</v>
      </c>
      <c r="W34" s="9">
        <v>5</v>
      </c>
      <c r="X34" s="9" t="e">
        <f t="shared" si="6"/>
        <v>#DIV/0!</v>
      </c>
    </row>
    <row r="35" spans="2:24" ht="18" thickBot="1" x14ac:dyDescent="0.75">
      <c r="H35" s="5" t="s">
        <v>12</v>
      </c>
      <c r="W35" s="9">
        <v>6</v>
      </c>
      <c r="X35" s="9" t="e">
        <f t="shared" si="6"/>
        <v>#DIV/0!</v>
      </c>
    </row>
    <row r="36" spans="2:24" ht="18" thickBot="1" x14ac:dyDescent="0.75">
      <c r="H36" s="12">
        <v>546.1</v>
      </c>
      <c r="W36" s="9">
        <v>7</v>
      </c>
      <c r="X36" s="9" t="e">
        <f t="shared" si="6"/>
        <v>#DIV/0!</v>
      </c>
    </row>
    <row r="37" spans="2:24" ht="18" thickBot="1" x14ac:dyDescent="0.75">
      <c r="W37" s="3">
        <v>8</v>
      </c>
      <c r="X37" s="3" t="e">
        <f t="shared" si="6"/>
        <v>#DIV/0!</v>
      </c>
    </row>
    <row r="41" spans="2:24" ht="18" thickBot="1" x14ac:dyDescent="0.75"/>
    <row r="42" spans="2:24" ht="19.149999999999999" x14ac:dyDescent="0.7">
      <c r="K42" s="17" t="s">
        <v>18</v>
      </c>
      <c r="L42" s="14">
        <v>11.12</v>
      </c>
      <c r="M42" s="17" t="s">
        <v>28</v>
      </c>
      <c r="N42" s="14">
        <v>2.87</v>
      </c>
      <c r="P42" s="17" t="s">
        <v>38</v>
      </c>
      <c r="Q42" s="14">
        <v>44.4</v>
      </c>
      <c r="R42" s="17" t="s">
        <v>46</v>
      </c>
      <c r="S42" s="14">
        <v>24.65</v>
      </c>
    </row>
    <row r="43" spans="2:24" ht="19.5" thickBot="1" x14ac:dyDescent="0.75">
      <c r="K43" s="18" t="s">
        <v>19</v>
      </c>
      <c r="L43" s="15">
        <v>31.62</v>
      </c>
      <c r="M43" s="18" t="s">
        <v>29</v>
      </c>
      <c r="N43" s="15">
        <v>1.5</v>
      </c>
      <c r="P43" s="18" t="s">
        <v>39</v>
      </c>
      <c r="Q43" s="15">
        <v>44.4</v>
      </c>
      <c r="R43" s="18" t="s">
        <v>47</v>
      </c>
      <c r="S43" s="15">
        <v>24.65</v>
      </c>
    </row>
    <row r="44" spans="2:24" ht="19.5" thickBot="1" x14ac:dyDescent="0.75">
      <c r="B44" s="11"/>
      <c r="C44" s="11"/>
      <c r="D44" s="11"/>
      <c r="E44" s="13" t="s">
        <v>11</v>
      </c>
      <c r="K44" s="18" t="s">
        <v>20</v>
      </c>
      <c r="L44" s="15">
        <v>20</v>
      </c>
      <c r="M44" s="18" t="s">
        <v>30</v>
      </c>
      <c r="N44" s="15">
        <v>1.5</v>
      </c>
      <c r="P44" s="18" t="s">
        <v>40</v>
      </c>
      <c r="Q44" s="15">
        <v>44.4</v>
      </c>
      <c r="R44" s="18" t="s">
        <v>48</v>
      </c>
      <c r="S44" s="15">
        <v>24.65</v>
      </c>
    </row>
    <row r="45" spans="2:24" ht="19.149999999999999" x14ac:dyDescent="0.7">
      <c r="B45" s="10"/>
      <c r="C45" s="10"/>
      <c r="D45" s="10"/>
      <c r="E45" s="10" t="e">
        <f t="shared" ref="E45:E52" si="7">(D45/C45)*($H$36/2)</f>
        <v>#DIV/0!</v>
      </c>
      <c r="K45" s="18" t="s">
        <v>21</v>
      </c>
      <c r="L45" s="15">
        <v>20</v>
      </c>
      <c r="M45" s="18" t="s">
        <v>31</v>
      </c>
      <c r="N45" s="15">
        <v>1.5</v>
      </c>
      <c r="P45" s="18" t="s">
        <v>41</v>
      </c>
      <c r="Q45" s="15">
        <v>44.4</v>
      </c>
      <c r="R45" s="18" t="s">
        <v>49</v>
      </c>
      <c r="S45" s="15">
        <v>24.65</v>
      </c>
    </row>
    <row r="46" spans="2:24" ht="19.149999999999999" x14ac:dyDescent="0.7">
      <c r="B46" s="9"/>
      <c r="C46" s="9"/>
      <c r="D46" s="9"/>
      <c r="E46" s="10" t="e">
        <f t="shared" si="7"/>
        <v>#DIV/0!</v>
      </c>
      <c r="K46" s="18" t="s">
        <v>22</v>
      </c>
      <c r="L46" s="15">
        <v>20</v>
      </c>
      <c r="M46" s="18" t="s">
        <v>32</v>
      </c>
      <c r="N46" s="15">
        <v>1.5</v>
      </c>
      <c r="P46" s="18" t="s">
        <v>42</v>
      </c>
      <c r="Q46" s="15">
        <v>33.85</v>
      </c>
      <c r="R46" s="18" t="s">
        <v>50</v>
      </c>
      <c r="S46" s="15">
        <v>14.3</v>
      </c>
    </row>
    <row r="47" spans="2:24" ht="19.149999999999999" x14ac:dyDescent="0.7">
      <c r="B47" s="9"/>
      <c r="C47" s="9"/>
      <c r="D47" s="9"/>
      <c r="E47" s="10" t="e">
        <f>(D47/C47)*($H$36/2)</f>
        <v>#DIV/0!</v>
      </c>
      <c r="K47" s="18" t="s">
        <v>23</v>
      </c>
      <c r="L47" s="15">
        <v>20</v>
      </c>
      <c r="M47" s="18" t="s">
        <v>33</v>
      </c>
      <c r="N47" s="15">
        <v>1.5</v>
      </c>
      <c r="P47" s="18" t="s">
        <v>43</v>
      </c>
      <c r="Q47" s="15">
        <v>33.85</v>
      </c>
      <c r="R47" s="18" t="s">
        <v>51</v>
      </c>
      <c r="S47" s="15">
        <v>14.3</v>
      </c>
    </row>
    <row r="48" spans="2:24" ht="19.149999999999999" x14ac:dyDescent="0.7">
      <c r="B48" s="9"/>
      <c r="C48" s="9"/>
      <c r="D48" s="9"/>
      <c r="E48" s="10" t="e">
        <f t="shared" si="7"/>
        <v>#DIV/0!</v>
      </c>
      <c r="K48" s="18" t="s">
        <v>24</v>
      </c>
      <c r="L48" s="15">
        <v>20</v>
      </c>
      <c r="M48" s="18" t="s">
        <v>34</v>
      </c>
      <c r="N48" s="15">
        <v>1.53</v>
      </c>
      <c r="P48" s="18" t="s">
        <v>44</v>
      </c>
      <c r="Q48" s="15">
        <v>33.85</v>
      </c>
      <c r="R48" s="18" t="s">
        <v>52</v>
      </c>
      <c r="S48" s="15">
        <v>14.3</v>
      </c>
    </row>
    <row r="49" spans="2:19" ht="19.5" thickBot="1" x14ac:dyDescent="0.75">
      <c r="B49" s="9"/>
      <c r="C49" s="9"/>
      <c r="D49" s="9"/>
      <c r="E49" s="10" t="e">
        <f>(D49/C49)*($H$36/2)</f>
        <v>#DIV/0!</v>
      </c>
      <c r="K49" s="18" t="s">
        <v>25</v>
      </c>
      <c r="L49" s="15">
        <v>20</v>
      </c>
      <c r="M49" s="18" t="s">
        <v>35</v>
      </c>
      <c r="N49" s="15">
        <v>1.5</v>
      </c>
      <c r="P49" s="19" t="s">
        <v>45</v>
      </c>
      <c r="Q49" s="16">
        <v>33.85</v>
      </c>
      <c r="R49" s="19" t="s">
        <v>53</v>
      </c>
      <c r="S49" s="16">
        <v>14.3</v>
      </c>
    </row>
    <row r="50" spans="2:19" ht="19.5" thickBot="1" x14ac:dyDescent="0.75">
      <c r="B50" s="9"/>
      <c r="C50" s="9"/>
      <c r="D50" s="9"/>
      <c r="E50" s="10" t="e">
        <f t="shared" si="7"/>
        <v>#DIV/0!</v>
      </c>
      <c r="K50" s="18" t="s">
        <v>26</v>
      </c>
      <c r="L50" s="15">
        <v>10.4</v>
      </c>
      <c r="M50" s="19" t="s">
        <v>36</v>
      </c>
      <c r="N50" s="16">
        <v>1.75</v>
      </c>
    </row>
    <row r="51" spans="2:19" ht="19.5" thickBot="1" x14ac:dyDescent="0.75">
      <c r="B51" s="9"/>
      <c r="C51" s="9"/>
      <c r="D51" s="9"/>
      <c r="E51" s="10" t="e">
        <f t="shared" si="7"/>
        <v>#DIV/0!</v>
      </c>
      <c r="K51" s="19" t="s">
        <v>27</v>
      </c>
      <c r="L51" s="16">
        <v>4.7</v>
      </c>
      <c r="P51" s="21" t="s">
        <v>37</v>
      </c>
      <c r="Q51" s="20">
        <v>12</v>
      </c>
    </row>
    <row r="52" spans="2:19" ht="18" thickBot="1" x14ac:dyDescent="0.75">
      <c r="B52" s="3"/>
      <c r="C52" s="3"/>
      <c r="D52" s="3"/>
      <c r="E52" s="4" t="e">
        <f t="shared" si="7"/>
        <v>#DIV/0!</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啓祐 鈴木</dc:creator>
  <cp:lastModifiedBy>啓祐 鈴木</cp:lastModifiedBy>
  <dcterms:created xsi:type="dcterms:W3CDTF">2026-02-05T01:33:21Z</dcterms:created>
  <dcterms:modified xsi:type="dcterms:W3CDTF">2026-06-03T15:38:12Z</dcterms:modified>
</cp:coreProperties>
</file>